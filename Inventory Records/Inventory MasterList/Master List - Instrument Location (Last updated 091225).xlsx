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man\Desktop\Inventory MasterList\"/>
    </mc:Choice>
  </mc:AlternateContent>
  <xr:revisionPtr revIDLastSave="0" documentId="13_ncr:1_{7F391E1E-0045-4DCA-A2CF-67AB9E6061A1}" xr6:coauthVersionLast="47" xr6:coauthVersionMax="47" xr10:uidLastSave="{00000000-0000-0000-0000-000000000000}"/>
  <bookViews>
    <workbookView xWindow="-120" yWindow="-120" windowWidth="29040" windowHeight="15720" tabRatio="897" firstSheet="1" activeTab="1" xr2:uid="{00000000-000D-0000-FFFF-FFFF00000000}"/>
  </bookViews>
  <sheets>
    <sheet name="67 Office (2)" sheetId="55" state="hidden" r:id="rId1"/>
    <sheet name="INSRTED" sheetId="57" r:id="rId2"/>
    <sheet name="57 Office" sheetId="42" r:id="rId3"/>
    <sheet name="265 site" sheetId="43" r:id="rId4"/>
    <sheet name="12 H3" sheetId="13" r:id="rId5"/>
    <sheet name="23 Loan &amp; Sold" sheetId="56" r:id="rId6"/>
    <sheet name="Kodi-Strike Off (No Values)" sheetId="35" r:id="rId7"/>
    <sheet name="16 WRITE OFF" sheetId="46" r:id="rId8"/>
    <sheet name="Sold" sheetId="15" r:id="rId9"/>
    <sheet name="Router, Beanair Sensor, PC" sheetId="50" r:id="rId10"/>
    <sheet name="Confirm FF SN" sheetId="44" r:id="rId11"/>
    <sheet name="VM &amp; NM" sheetId="32" r:id="rId12"/>
    <sheet name="Battery" sheetId="51" r:id="rId13"/>
    <sheet name="Solar Panel" sheetId="52" r:id="rId14"/>
    <sheet name="Prism" sheetId="34" r:id="rId15"/>
    <sheet name="373 Purchased" sheetId="54" r:id="rId16"/>
    <sheet name="Sheet1" sheetId="49" r:id="rId17"/>
  </sheets>
  <definedNames>
    <definedName name="_xlnm._FilterDatabase" localSheetId="7" hidden="1">'16 WRITE OFF'!#REF!</definedName>
    <definedName name="_xlnm._FilterDatabase" localSheetId="5" hidden="1">'23 Loan &amp; Sold'!$A$3:$BX$3</definedName>
    <definedName name="_xlnm._FilterDatabase" localSheetId="3" hidden="1">'265 site'!$A$3:$K$268</definedName>
    <definedName name="_xlnm._FilterDatabase" localSheetId="15" hidden="1">'373 Purchased'!$E$1:$E$365</definedName>
    <definedName name="_xlnm._FilterDatabase" localSheetId="2" hidden="1">'57 Office'!$A$3:$BX$12</definedName>
    <definedName name="_xlnm._FilterDatabase" localSheetId="0" hidden="1">'67 Office (2)'!$A$3:$BE$56</definedName>
    <definedName name="_xlnm._FilterDatabase" localSheetId="1" hidden="1">INSRTED!$A$1:$I$404</definedName>
    <definedName name="_xlnm._FilterDatabase" localSheetId="6" hidden="1">'Kodi-Strike Off (No Values)'!$B$3:$B$3</definedName>
    <definedName name="_xlnm._FilterDatabase" localSheetId="9" hidden="1">'Router, Beanair Sensor, PC'!$A$2:$F$2</definedName>
    <definedName name="_xlnm._FilterDatabase" localSheetId="8" hidden="1">Sold!$A$2:$N$2</definedName>
    <definedName name="_xlnm._FilterDatabase" localSheetId="11" hidden="1">'VM &amp; NM'!#REF!</definedName>
    <definedName name="_xlnm.Print_Area" localSheetId="4">'12 H3'!$E$79:$J$90</definedName>
    <definedName name="_xlnm.Print_Area" localSheetId="7">'16 WRITE OFF'!#REF!</definedName>
    <definedName name="_xlnm.Print_Area" localSheetId="5">'23 Loan &amp; Sold'!$A$1:$J$3</definedName>
    <definedName name="_xlnm.Print_Area" localSheetId="3">'265 site'!$E$3:$K$252</definedName>
    <definedName name="_xlnm.Print_Area" localSheetId="15">'373 Purchased'!$A$1:$I$298</definedName>
    <definedName name="_xlnm.Print_Area" localSheetId="2">'57 Office'!$A$1:$J$33</definedName>
    <definedName name="_xlnm.Print_Area" localSheetId="0">'67 Office (2)'!$A$1:$D$75</definedName>
    <definedName name="_xlnm.Print_Area" localSheetId="6">'Kodi-Strike Off (No Values)'!$A:$G</definedName>
    <definedName name="_xlnm.Print_Area" localSheetId="9">'Router, Beanair Sensor, PC'!$A:$E</definedName>
    <definedName name="_xlnm.Print_Area" localSheetId="8">Sold!$A:$D</definedName>
    <definedName name="_xlnm.Print_Area" localSheetId="11">'VM &amp; NM'!$A:$E</definedName>
    <definedName name="_xlnm.Print_Titles" localSheetId="5">'23 Loan &amp; Sold'!$1:$3</definedName>
    <definedName name="_xlnm.Print_Titles" localSheetId="3">'265 site'!$1:$3</definedName>
    <definedName name="_xlnm.Print_Titles" localSheetId="15">'373 Purchased'!$1:$2</definedName>
    <definedName name="_xlnm.Print_Titles" localSheetId="2">'57 Office'!$1:$3</definedName>
    <definedName name="_xlnm.Print_Titles" localSheetId="0">'67 Office (2)'!$1:$3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9" i="13" l="1"/>
  <c r="E41" i="32"/>
  <c r="D223" i="51"/>
  <c r="D93" i="51"/>
  <c r="G398" i="50"/>
  <c r="G353" i="50"/>
  <c r="G354" i="50" s="1"/>
  <c r="G193" i="50"/>
  <c r="G189" i="50"/>
  <c r="G397" i="50"/>
  <c r="G396" i="50"/>
  <c r="G185" i="50"/>
  <c r="G286" i="50"/>
  <c r="G285" i="50"/>
  <c r="G284" i="50"/>
  <c r="G392" i="50"/>
  <c r="G388" i="50"/>
  <c r="G384" i="50"/>
  <c r="G181" i="50"/>
  <c r="G380" i="50"/>
  <c r="G177" i="50"/>
  <c r="G376" i="50"/>
  <c r="G348" i="50"/>
  <c r="G349" i="50" s="1"/>
  <c r="G344" i="50"/>
  <c r="G345" i="50" s="1"/>
  <c r="G340" i="50"/>
  <c r="G341" i="50" s="1"/>
  <c r="G280" i="50"/>
  <c r="G279" i="50"/>
  <c r="G278" i="50"/>
  <c r="G277" i="50"/>
  <c r="G173" i="50"/>
  <c r="G287" i="50" l="1"/>
  <c r="G281" i="50"/>
  <c r="G272" i="50"/>
  <c r="G271" i="50"/>
  <c r="G270" i="50"/>
  <c r="G258" i="50"/>
  <c r="F25" i="52"/>
  <c r="F22" i="52"/>
  <c r="F21" i="52"/>
  <c r="F20" i="52"/>
  <c r="F19" i="52"/>
  <c r="F18" i="52"/>
  <c r="F17" i="52"/>
  <c r="F16" i="52"/>
  <c r="F15" i="52"/>
  <c r="F14" i="52"/>
  <c r="F10" i="52"/>
  <c r="F9" i="52"/>
  <c r="F8" i="52"/>
  <c r="F4" i="52"/>
  <c r="F3" i="52"/>
  <c r="I13" i="51"/>
  <c r="G372" i="50"/>
  <c r="G368" i="50"/>
  <c r="G364" i="50"/>
  <c r="G360" i="50"/>
  <c r="G335" i="50"/>
  <c r="G334" i="50"/>
  <c r="G331" i="50"/>
  <c r="G326" i="50"/>
  <c r="G325" i="50"/>
  <c r="G324" i="50"/>
  <c r="G323" i="50"/>
  <c r="G319" i="50"/>
  <c r="G318" i="50"/>
  <c r="G314" i="50"/>
  <c r="G310" i="50"/>
  <c r="G309" i="50"/>
  <c r="G305" i="50"/>
  <c r="G301" i="50"/>
  <c r="G300" i="50"/>
  <c r="G296" i="50"/>
  <c r="G295" i="50"/>
  <c r="G265" i="50"/>
  <c r="G264" i="50"/>
  <c r="G263" i="50"/>
  <c r="G262" i="50"/>
  <c r="G261" i="50"/>
  <c r="G260" i="50"/>
  <c r="G259" i="50"/>
  <c r="D253" i="50"/>
  <c r="D239" i="50"/>
  <c r="D222" i="50"/>
  <c r="D204" i="50"/>
  <c r="G169" i="50"/>
  <c r="G194" i="50" s="1"/>
  <c r="D164" i="50"/>
  <c r="D123" i="50"/>
  <c r="F26" i="52" l="1"/>
  <c r="G266" i="50"/>
  <c r="F11" i="52"/>
  <c r="G273" i="50"/>
  <c r="G327" i="50"/>
  <c r="G336" i="50" s="1"/>
  <c r="B23" i="49"/>
  <c r="D13" i="49"/>
  <c r="C12" i="49"/>
  <c r="C11" i="49"/>
  <c r="C6" i="49"/>
  <c r="D6" i="49" s="1"/>
  <c r="C14" i="49" s="1"/>
  <c r="D14" i="49" s="1"/>
  <c r="D5" i="49"/>
  <c r="D4" i="49"/>
  <c r="D3" i="49"/>
  <c r="D2" i="49"/>
  <c r="C10" i="49" s="1"/>
  <c r="D10" i="49" s="1"/>
  <c r="D3" i="34"/>
  <c r="C4" i="34"/>
  <c r="D4" i="34" s="1"/>
  <c r="D5" i="34" s="1"/>
  <c r="E19" i="32"/>
  <c r="E32" i="32"/>
  <c r="E54" i="32"/>
  <c r="E64" i="32"/>
  <c r="D15" i="35"/>
  <c r="E15" i="35"/>
  <c r="D34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siti</author>
  </authors>
  <commentList>
    <comment ref="E373" authorId="0" shapeId="0" xr:uid="{6E07F83C-E97C-4F43-96B2-B84FBC81EE11}">
      <text>
        <r>
          <rPr>
            <b/>
            <sz val="9"/>
            <color indexed="81"/>
            <rFont val="Tahoma"/>
            <family val="2"/>
          </rPr>
          <t>At Bedok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siti</author>
  </authors>
  <commentList>
    <comment ref="F17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At Bedok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siti</author>
  </authors>
  <commentList>
    <comment ref="G38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NEED CHECK SERIAL NUMBER WITH FF NO.</t>
        </r>
      </text>
    </comment>
    <comment ref="G154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NEED TO CONFIRM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siti</author>
  </authors>
  <commentList>
    <comment ref="G45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NEED CHECK SERIAL NUMBER WITH FF NO.</t>
        </r>
      </text>
    </comment>
    <comment ref="G122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NEED TO CONFIRM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suriyati</author>
    <author>farhana</author>
  </authors>
  <commentList>
    <comment ref="B36" authorId="0" shapeId="0" xr:uid="{50D4C6F7-FFAD-4286-A6F6-80E52A762AC1}">
      <text>
        <r>
          <rPr>
            <b/>
            <sz val="12"/>
            <color indexed="81"/>
            <rFont val="Tahoma"/>
            <family val="2"/>
          </rPr>
          <t>suriyati:</t>
        </r>
        <r>
          <rPr>
            <sz val="12"/>
            <color indexed="81"/>
            <rFont val="Tahoma"/>
            <family val="2"/>
          </rPr>
          <t xml:space="preserve">
Absolute Instrument System (Pte.) Ltd.</t>
        </r>
      </text>
    </comment>
    <comment ref="B39" authorId="0" shapeId="0" xr:uid="{CAEDE231-104D-464B-9594-F02B37063AF0}">
      <text>
        <r>
          <rPr>
            <b/>
            <sz val="12"/>
            <color indexed="81"/>
            <rFont val="Tahoma"/>
            <family val="2"/>
          </rPr>
          <t>suriyati:</t>
        </r>
        <r>
          <rPr>
            <sz val="12"/>
            <color indexed="81"/>
            <rFont val="Tahoma"/>
            <family val="2"/>
          </rPr>
          <t xml:space="preserve">
MIT Technology Pte Ltd</t>
        </r>
      </text>
    </comment>
    <comment ref="C73" authorId="1" shapeId="0" xr:uid="{00000000-0006-0000-0900-000001000000}">
      <text>
        <r>
          <rPr>
            <b/>
            <sz val="9"/>
            <color indexed="81"/>
            <rFont val="Tahoma"/>
            <family val="2"/>
          </rPr>
          <t>farhana:</t>
        </r>
        <r>
          <rPr>
            <sz val="9"/>
            <color indexed="81"/>
            <rFont val="Tahoma"/>
            <family val="2"/>
          </rPr>
          <t xml:space="preserve">
Previously YENUHA</t>
        </r>
      </text>
    </comment>
    <comment ref="C77" authorId="1" shapeId="0" xr:uid="{00000000-0006-0000-0900-000002000000}">
      <text>
        <r>
          <rPr>
            <b/>
            <sz val="9"/>
            <color indexed="81"/>
            <rFont val="Tahoma"/>
            <family val="2"/>
          </rPr>
          <t>farhana:</t>
        </r>
        <r>
          <rPr>
            <sz val="9"/>
            <color indexed="81"/>
            <rFont val="Tahoma"/>
            <family val="2"/>
          </rPr>
          <t xml:space="preserve">
Previously was WUNELA (Ref DO: O/D-019610)</t>
        </r>
      </text>
    </comment>
    <comment ref="C106" authorId="1" shapeId="0" xr:uid="{00000000-0006-0000-0900-000003000000}">
      <text>
        <r>
          <rPr>
            <b/>
            <sz val="9"/>
            <color indexed="81"/>
            <rFont val="Tahoma"/>
            <family val="2"/>
          </rPr>
          <t>farhana:</t>
        </r>
        <r>
          <rPr>
            <sz val="9"/>
            <color indexed="81"/>
            <rFont val="Tahoma"/>
            <family val="2"/>
          </rPr>
          <t xml:space="preserve">
24/11: Original Replacement of XUDAYU. YENUHA spoilt and replace with XUDAYU.</t>
        </r>
      </text>
    </comment>
  </commentList>
</comments>
</file>

<file path=xl/sharedStrings.xml><?xml version="1.0" encoding="utf-8"?>
<sst xmlns="http://schemas.openxmlformats.org/spreadsheetml/2006/main" count="11423" uniqueCount="2355">
  <si>
    <t>Model</t>
  </si>
  <si>
    <t>Serial No.</t>
  </si>
  <si>
    <t>Current Location</t>
  </si>
  <si>
    <t>Last Updated Date</t>
  </si>
  <si>
    <t>Purchase Date</t>
  </si>
  <si>
    <t>Remarks</t>
  </si>
  <si>
    <t>Description</t>
  </si>
  <si>
    <t>TOPCON GLS-2000</t>
  </si>
  <si>
    <t>NC0217</t>
  </si>
  <si>
    <t>Kodi Engineering Services Pte Ltd</t>
  </si>
  <si>
    <t/>
  </si>
  <si>
    <t>Returned</t>
  </si>
  <si>
    <t>KS-102 P</t>
  </si>
  <si>
    <t>KY1177</t>
  </si>
  <si>
    <t>Sold (MSP Tax Inv: I15L249 DD 21/12/15)</t>
  </si>
  <si>
    <t>KY1180</t>
  </si>
  <si>
    <t>MSP Office</t>
  </si>
  <si>
    <t>Instrument store at Kodi</t>
  </si>
  <si>
    <t>ES-101/SG</t>
  </si>
  <si>
    <t>GW1010</t>
  </si>
  <si>
    <t>26/10/2015</t>
  </si>
  <si>
    <t>GW1011</t>
  </si>
  <si>
    <t>Lian Ho Lee Construction Private Limited</t>
  </si>
  <si>
    <t>Sold to Lian Ho Lee Construction Private Limited (MSP Tax Invoice: I15K214 DD 03/11/15)</t>
  </si>
  <si>
    <t>ES-103/SG</t>
  </si>
  <si>
    <t>GY0768</t>
  </si>
  <si>
    <t>ES-105/SG</t>
  </si>
  <si>
    <t>GZ7148</t>
  </si>
  <si>
    <t>03/12/2015</t>
  </si>
  <si>
    <t>GZ7209</t>
  </si>
  <si>
    <t>Sold (MSP Tax Inv: I15L250 DD 21/12/15)</t>
  </si>
  <si>
    <t>SOLD</t>
  </si>
  <si>
    <t>Sold</t>
  </si>
  <si>
    <t>PT Exsol (Indonesia)</t>
  </si>
  <si>
    <t>PT Exsol Innovindo</t>
  </si>
  <si>
    <t>Topcon Instrument (Malaysia)</t>
  </si>
  <si>
    <t>Sokkia SRX3</t>
  </si>
  <si>
    <t>100075</t>
  </si>
  <si>
    <t>25/04/2012</t>
  </si>
  <si>
    <t>Sokkia NET1AX</t>
  </si>
  <si>
    <t>100546</t>
  </si>
  <si>
    <t>Sokkia NET1m</t>
  </si>
  <si>
    <t>100950</t>
  </si>
  <si>
    <t>101018</t>
  </si>
  <si>
    <t>101041</t>
  </si>
  <si>
    <t>101048</t>
  </si>
  <si>
    <t>101105</t>
  </si>
  <si>
    <t>101115</t>
  </si>
  <si>
    <t>101143</t>
  </si>
  <si>
    <t>101160</t>
  </si>
  <si>
    <t>101201</t>
  </si>
  <si>
    <t>101233</t>
  </si>
  <si>
    <t>Sokkia NET1m-II</t>
  </si>
  <si>
    <t>101303</t>
  </si>
  <si>
    <t>101374</t>
  </si>
  <si>
    <t>Sokkia SRX1X</t>
  </si>
  <si>
    <t>101390</t>
  </si>
  <si>
    <t>101391</t>
  </si>
  <si>
    <t>Returned back to Kodi Engineering</t>
  </si>
  <si>
    <t>101393</t>
  </si>
  <si>
    <t>Returned Back to Kodi Engineering</t>
  </si>
  <si>
    <t>101394</t>
  </si>
  <si>
    <t>Returned (Sold) back to Kodi Engineering Services</t>
  </si>
  <si>
    <t>101426</t>
  </si>
  <si>
    <t>101438</t>
  </si>
  <si>
    <t>11/09/2014</t>
  </si>
  <si>
    <t>101515</t>
  </si>
  <si>
    <t>101552</t>
  </si>
  <si>
    <t>101553</t>
  </si>
  <si>
    <t>101554</t>
  </si>
  <si>
    <t>101555</t>
  </si>
  <si>
    <t>101556</t>
  </si>
  <si>
    <t>JTRS</t>
  </si>
  <si>
    <t>101563</t>
  </si>
  <si>
    <t>101565</t>
  </si>
  <si>
    <t>101567</t>
  </si>
  <si>
    <t>Woh Hup</t>
  </si>
  <si>
    <t>101571</t>
  </si>
  <si>
    <t>101579</t>
  </si>
  <si>
    <t>Return back loan</t>
  </si>
  <si>
    <t>101581</t>
  </si>
  <si>
    <t>101583</t>
  </si>
  <si>
    <t>CPG</t>
  </si>
  <si>
    <t>SOLD TO CPG</t>
  </si>
  <si>
    <t>101594</t>
  </si>
  <si>
    <t>101640</t>
  </si>
  <si>
    <t>101651</t>
  </si>
  <si>
    <t>101677</t>
  </si>
  <si>
    <t>101743</t>
  </si>
  <si>
    <t>101751</t>
  </si>
  <si>
    <t>101844</t>
  </si>
  <si>
    <t>101845</t>
  </si>
  <si>
    <t>101922</t>
  </si>
  <si>
    <t>101923</t>
  </si>
  <si>
    <t>101924</t>
  </si>
  <si>
    <t>102011</t>
  </si>
  <si>
    <t>102014</t>
  </si>
  <si>
    <t>102017</t>
  </si>
  <si>
    <t>102020</t>
  </si>
  <si>
    <t>102024</t>
  </si>
  <si>
    <t>102030</t>
  </si>
  <si>
    <t>102056</t>
  </si>
  <si>
    <t>102057</t>
  </si>
  <si>
    <t>102167</t>
  </si>
  <si>
    <t>102168</t>
  </si>
  <si>
    <t>102171</t>
  </si>
  <si>
    <t>Sokkia NET05AXT11T-21W</t>
  </si>
  <si>
    <t>102175</t>
  </si>
  <si>
    <t>S.D.M Company Limited (Thailand)</t>
  </si>
  <si>
    <t>Purchase for S.D.M Company Limited</t>
  </si>
  <si>
    <t>102178</t>
  </si>
  <si>
    <t>102181</t>
  </si>
  <si>
    <t>Sokkia NET05AX</t>
  </si>
  <si>
    <t>102190</t>
  </si>
  <si>
    <t>102210</t>
  </si>
  <si>
    <t>Sold to S.D.M Company Limited</t>
  </si>
  <si>
    <t>102214</t>
  </si>
  <si>
    <t>102215</t>
  </si>
  <si>
    <t>102216</t>
  </si>
  <si>
    <t>102217</t>
  </si>
  <si>
    <t>102218</t>
  </si>
  <si>
    <t>102219</t>
  </si>
  <si>
    <t>Topcon Corporation Japan</t>
  </si>
  <si>
    <t>102225</t>
  </si>
  <si>
    <t>102226</t>
  </si>
  <si>
    <t>102227</t>
  </si>
  <si>
    <t>102228</t>
  </si>
  <si>
    <t>102229</t>
  </si>
  <si>
    <t>102230</t>
  </si>
  <si>
    <t>102281</t>
  </si>
  <si>
    <t>102282</t>
  </si>
  <si>
    <t>102283</t>
  </si>
  <si>
    <t>102285</t>
  </si>
  <si>
    <t>102286</t>
  </si>
  <si>
    <t>102288</t>
  </si>
  <si>
    <t>102290</t>
  </si>
  <si>
    <t>102292</t>
  </si>
  <si>
    <t>102298</t>
  </si>
  <si>
    <t>MS1AX</t>
  </si>
  <si>
    <t>102313</t>
  </si>
  <si>
    <t>102315</t>
  </si>
  <si>
    <t>102319</t>
  </si>
  <si>
    <t>102323</t>
  </si>
  <si>
    <t>102326</t>
  </si>
  <si>
    <t>102338</t>
  </si>
  <si>
    <t>Thailand</t>
  </si>
  <si>
    <t>Sold to Thailand (S.D.M Company Limited)</t>
  </si>
  <si>
    <t>MS05AXT52T-21</t>
  </si>
  <si>
    <t>102440</t>
  </si>
  <si>
    <t>Victory Instrument JSC</t>
  </si>
  <si>
    <t>Sold to Victory Instrument JSC</t>
  </si>
  <si>
    <t>Sokkia NET05XT12T-21W</t>
  </si>
  <si>
    <t>102459</t>
  </si>
  <si>
    <t>Monmet Engineering Co., Ltd</t>
  </si>
  <si>
    <t>21/02/2014</t>
  </si>
  <si>
    <t>Sold to Monmet Engineering Co., Ltd</t>
  </si>
  <si>
    <t>102684</t>
  </si>
  <si>
    <t>102696</t>
  </si>
  <si>
    <t>102700</t>
  </si>
  <si>
    <t>102703</t>
  </si>
  <si>
    <t>102707</t>
  </si>
  <si>
    <t>102997</t>
  </si>
  <si>
    <t>103003</t>
  </si>
  <si>
    <t>103005</t>
  </si>
  <si>
    <t>103047</t>
  </si>
  <si>
    <t>103103</t>
  </si>
  <si>
    <t>103109</t>
  </si>
  <si>
    <t>103116</t>
  </si>
  <si>
    <t>Sokkia NET05</t>
  </si>
  <si>
    <t>106123</t>
  </si>
  <si>
    <t>Sokkia NET05XT12-21</t>
  </si>
  <si>
    <t>106302</t>
  </si>
  <si>
    <t>ZEISS</t>
  </si>
  <si>
    <t>109838</t>
  </si>
  <si>
    <t>02/05/2012</t>
  </si>
  <si>
    <t>Servicing</t>
  </si>
  <si>
    <t>SX-101T/S</t>
  </si>
  <si>
    <t>270102</t>
  </si>
  <si>
    <t>Return back</t>
  </si>
  <si>
    <t>270103</t>
  </si>
  <si>
    <t>400545</t>
  </si>
  <si>
    <t>SOKKIA FX101</t>
  </si>
  <si>
    <t>CE0297</t>
  </si>
  <si>
    <t>Returned back Loan Set</t>
  </si>
  <si>
    <t>SOKKIA FX-103/S</t>
  </si>
  <si>
    <t>CG0161</t>
  </si>
  <si>
    <t>SOKKIA DX103AC</t>
  </si>
  <si>
    <t>JK0064</t>
  </si>
  <si>
    <t>DS-101AC/S2D</t>
  </si>
  <si>
    <t>JM1186</t>
  </si>
  <si>
    <t>Return Loan Set</t>
  </si>
  <si>
    <t>NET05AXIIT/TE2</t>
  </si>
  <si>
    <t>KG0072</t>
  </si>
  <si>
    <t>KG0163</t>
  </si>
  <si>
    <t>NET1AXIIT/TE2</t>
  </si>
  <si>
    <t>KH0051</t>
  </si>
  <si>
    <t>Sold to PT Exsol Innovindo</t>
  </si>
  <si>
    <t>MS1AXIIT/TE2</t>
  </si>
  <si>
    <t>KM0062</t>
  </si>
  <si>
    <t>KM0063</t>
  </si>
  <si>
    <t>MS1AX2A/TE2</t>
  </si>
  <si>
    <t>KM0069</t>
  </si>
  <si>
    <t>Topcon Instrument (Thailand) Co. Ltd</t>
  </si>
  <si>
    <t>IS301</t>
  </si>
  <si>
    <t>Y30061</t>
  </si>
  <si>
    <t>Sokkia</t>
  </si>
  <si>
    <t>Amount</t>
  </si>
  <si>
    <t>Remark</t>
  </si>
  <si>
    <t>Total Station on Site</t>
  </si>
  <si>
    <t>Total Station in Office</t>
  </si>
  <si>
    <t>GTS105N</t>
  </si>
  <si>
    <t>6H7900</t>
  </si>
  <si>
    <t>Z70159</t>
  </si>
  <si>
    <t>Pipe-Jack Engineering &amp; Construction Pte Ltd</t>
  </si>
  <si>
    <t>MS1AXTIIT/TE2</t>
  </si>
  <si>
    <t>KM0051</t>
  </si>
  <si>
    <t>Item Name</t>
  </si>
  <si>
    <t>Total Station</t>
  </si>
  <si>
    <t>3D Laser Scanner</t>
  </si>
  <si>
    <t>CYGNUS Total Station</t>
  </si>
  <si>
    <t>Easy Station</t>
  </si>
  <si>
    <t>GTS235N</t>
  </si>
  <si>
    <t>027871</t>
  </si>
  <si>
    <t>Sold (MSP Tax Inv: I16B005 DD 17/02/16)</t>
  </si>
  <si>
    <t>Returned back</t>
  </si>
  <si>
    <t>Topcon GT-1001</t>
  </si>
  <si>
    <t>UQ000920</t>
  </si>
  <si>
    <t>17/12/2013</t>
  </si>
  <si>
    <t>KS-102</t>
  </si>
  <si>
    <t>HV5445</t>
  </si>
  <si>
    <t>SOKKIA SX-101</t>
  </si>
  <si>
    <t>Z70170</t>
  </si>
  <si>
    <t>Sold (MSP Tax Inv: I16I114 DD 26/09/16)</t>
  </si>
  <si>
    <t>TOPCON MS05AXII</t>
  </si>
  <si>
    <t>KJ0227</t>
  </si>
  <si>
    <t>Sold (MSP Tax Inv: I16J118 DD 05/10/16)</t>
  </si>
  <si>
    <t>06/10/2016</t>
  </si>
  <si>
    <t>16/06/2016</t>
  </si>
  <si>
    <t>15/02/2012</t>
  </si>
  <si>
    <t>20/01/2014</t>
  </si>
  <si>
    <t>21/10/2014</t>
  </si>
  <si>
    <t>31/10/2014</t>
  </si>
  <si>
    <t>22/10/2013</t>
  </si>
  <si>
    <t>22/01/2015</t>
  </si>
  <si>
    <t>08/04/2013</t>
  </si>
  <si>
    <t>14/11/2013</t>
  </si>
  <si>
    <t>12/09/2014</t>
  </si>
  <si>
    <t>17/02/2014</t>
  </si>
  <si>
    <t xml:space="preserve">15/02/2012 </t>
  </si>
  <si>
    <t>400490</t>
  </si>
  <si>
    <t>Store in KODI (Laser room)</t>
  </si>
  <si>
    <t>104970</t>
  </si>
  <si>
    <t>400449</t>
  </si>
  <si>
    <t>112286</t>
  </si>
  <si>
    <t>400038</t>
  </si>
  <si>
    <t>105006</t>
  </si>
  <si>
    <t>Total Station Store @ KE</t>
  </si>
  <si>
    <t>Sokkia IX-1001</t>
  </si>
  <si>
    <t>UR001139</t>
  </si>
  <si>
    <t>Loan Note: 16-002 DD 21/09/16 (Being one to one exchange by TSPS)</t>
  </si>
  <si>
    <t>UQ001727</t>
  </si>
  <si>
    <t>No.</t>
  </si>
  <si>
    <t>UQ00896</t>
  </si>
  <si>
    <t>Return to Topcon Singapore by Mr See.</t>
  </si>
  <si>
    <t>Others</t>
  </si>
  <si>
    <t>Sold (MSP Tax Inv: I17C022 dd 24/03/17)</t>
  </si>
  <si>
    <t>Return Loan Note: 17-001 dated 03/05/2017.</t>
  </si>
  <si>
    <t>Inv No.</t>
  </si>
  <si>
    <t>Inv Date</t>
  </si>
  <si>
    <t>P/O No.</t>
  </si>
  <si>
    <t>63829</t>
  </si>
  <si>
    <t>P08174</t>
  </si>
  <si>
    <t>SOKKIA NET1P51TN-22 Mono Mobile 3-D Station Complete with: 2 x BDC58 batery 1 x CDC68 charger 1 x EDC131 cable</t>
  </si>
  <si>
    <t>61334</t>
  </si>
  <si>
    <t>P08082</t>
  </si>
  <si>
    <t>SOKKIA NET-1M Mono Mobile 3-D Station Complete with: 2 x rechargeable battery 1 x charger 1 x EDC131 cable</t>
  </si>
  <si>
    <t>61336</t>
  </si>
  <si>
    <t>P08083</t>
  </si>
  <si>
    <t>64689</t>
  </si>
  <si>
    <t>P08195R &amp; P08174</t>
  </si>
  <si>
    <t>59405</t>
  </si>
  <si>
    <t>P07116</t>
  </si>
  <si>
    <t>SOKKIA NET-1M Mono Mobile 3-D Station Complete with: 2 x rechargeable battery 1 x charger 1 x cable</t>
  </si>
  <si>
    <t>60813</t>
  </si>
  <si>
    <t>P08068</t>
  </si>
  <si>
    <t>61888</t>
  </si>
  <si>
    <t>P08102</t>
  </si>
  <si>
    <t>75401</t>
  </si>
  <si>
    <t>1-Mar-11</t>
  </si>
  <si>
    <t>P11028</t>
  </si>
  <si>
    <t>82923</t>
  </si>
  <si>
    <t>P1200122</t>
  </si>
  <si>
    <t>77979</t>
  </si>
  <si>
    <t>P11116</t>
  </si>
  <si>
    <t>70129</t>
  </si>
  <si>
    <t>P010005</t>
  </si>
  <si>
    <t>69954</t>
  </si>
  <si>
    <t>5-Feb-10</t>
  </si>
  <si>
    <t>P09140</t>
  </si>
  <si>
    <t>68282</t>
  </si>
  <si>
    <t>P09107</t>
  </si>
  <si>
    <t>63000</t>
  </si>
  <si>
    <t>P08155</t>
  </si>
  <si>
    <t>67832</t>
  </si>
  <si>
    <t>P09090</t>
  </si>
  <si>
    <t>61341</t>
  </si>
  <si>
    <t>P08078</t>
  </si>
  <si>
    <t>85999</t>
  </si>
  <si>
    <t>P1200199</t>
  </si>
  <si>
    <t>60698</t>
  </si>
  <si>
    <t>P08036</t>
  </si>
  <si>
    <t>SOKKIA NET-1M Mono Mobile 3-D Station Complete with: 2 x rechargeable battery 1 x charger 1 x EDC131A cable</t>
  </si>
  <si>
    <t>64740</t>
  </si>
  <si>
    <t>P08195R</t>
  </si>
  <si>
    <t>75046</t>
  </si>
  <si>
    <t>17-Feb-11</t>
  </si>
  <si>
    <t>75956</t>
  </si>
  <si>
    <t>P11073</t>
  </si>
  <si>
    <t>59902</t>
  </si>
  <si>
    <t>P08013</t>
  </si>
  <si>
    <t>SOKKIA NET-1M Mono Mobile 3-D Station Complete with: 2 x rechargeable battery 1 x charger 1 x EDC131 cable (taken)</t>
  </si>
  <si>
    <t>74930</t>
  </si>
  <si>
    <t>10-Feb-11</t>
  </si>
  <si>
    <t>P11013</t>
  </si>
  <si>
    <t>79704</t>
  </si>
  <si>
    <t>P11185</t>
  </si>
  <si>
    <t>84414</t>
  </si>
  <si>
    <t>P1200162</t>
  </si>
  <si>
    <t>78802</t>
  </si>
  <si>
    <t>P11134</t>
  </si>
  <si>
    <t>80012</t>
  </si>
  <si>
    <t>P1200005</t>
  </si>
  <si>
    <t>MSP-0006</t>
  </si>
  <si>
    <t>P1300060</t>
  </si>
  <si>
    <t>NET05AXP51TM-21 (212040LA0) 3D Station</t>
  </si>
  <si>
    <t>NET1AXT11T-21W (212021BA0) 3D Station</t>
  </si>
  <si>
    <t>Kodi</t>
  </si>
  <si>
    <t>59580</t>
  </si>
  <si>
    <t>P07122</t>
  </si>
  <si>
    <t>73752</t>
  </si>
  <si>
    <t>20-Aug-10</t>
  </si>
  <si>
    <t>P010077</t>
  </si>
  <si>
    <t>MSP-0001</t>
  </si>
  <si>
    <t>P1200192</t>
  </si>
  <si>
    <t>66487</t>
  </si>
  <si>
    <t>P09053</t>
  </si>
  <si>
    <t>68440</t>
  </si>
  <si>
    <t>P09115</t>
  </si>
  <si>
    <t>Total Station Sold</t>
  </si>
  <si>
    <t>69845</t>
  </si>
  <si>
    <t>28-Jan-10</t>
  </si>
  <si>
    <t>Total (SGD):</t>
  </si>
  <si>
    <t>Total (USD):</t>
  </si>
  <si>
    <t>Sold (MSP Tax Inv: I16L155 DD 16/12/16)</t>
  </si>
  <si>
    <t>Total Station in Kodi Store</t>
  </si>
  <si>
    <t>Total (USD)</t>
  </si>
  <si>
    <t>FB510029652</t>
  </si>
  <si>
    <t>Four-Faith Router 3434</t>
  </si>
  <si>
    <t>FB510029651</t>
  </si>
  <si>
    <t>FB510029650</t>
  </si>
  <si>
    <t>FB510029649</t>
  </si>
  <si>
    <t>FB510029648</t>
  </si>
  <si>
    <t>FB510029646</t>
  </si>
  <si>
    <t>Four-Faith Router 3427</t>
  </si>
  <si>
    <t>FB510029645</t>
  </si>
  <si>
    <t>FB510029644</t>
  </si>
  <si>
    <t>FB510029643</t>
  </si>
  <si>
    <t>FB510029642</t>
  </si>
  <si>
    <t>FB510029641</t>
  </si>
  <si>
    <t>FB510029640</t>
  </si>
  <si>
    <t>FB510029639</t>
  </si>
  <si>
    <t>FB510029638</t>
  </si>
  <si>
    <t>FB510029637</t>
  </si>
  <si>
    <t>F1403251200</t>
  </si>
  <si>
    <t>F1403251027</t>
  </si>
  <si>
    <t>F1403251026</t>
  </si>
  <si>
    <t>F1403251025</t>
  </si>
  <si>
    <t>F1403251024</t>
  </si>
  <si>
    <t>F1403251023</t>
  </si>
  <si>
    <t>F1403251022</t>
  </si>
  <si>
    <t>F1403251021</t>
  </si>
  <si>
    <t>F1403251020</t>
  </si>
  <si>
    <t>F1403251019</t>
  </si>
  <si>
    <t>F1403251018</t>
  </si>
  <si>
    <t>F1403251017</t>
  </si>
  <si>
    <t>F1403251016</t>
  </si>
  <si>
    <t>F1403251015</t>
  </si>
  <si>
    <t>F1403251014</t>
  </si>
  <si>
    <t>F1401233662</t>
  </si>
  <si>
    <t>F1401233600</t>
  </si>
  <si>
    <t>71640403</t>
  </si>
  <si>
    <t>714A9701</t>
  </si>
  <si>
    <t>Total (SGD)</t>
  </si>
  <si>
    <t>Vibration Meter on Site</t>
  </si>
  <si>
    <t>Vibration Meter in MSP Office</t>
  </si>
  <si>
    <t>BE15739</t>
  </si>
  <si>
    <t>BE15737</t>
  </si>
  <si>
    <t>BG14712</t>
  </si>
  <si>
    <t>BE15740</t>
  </si>
  <si>
    <t>BG14924</t>
  </si>
  <si>
    <t>BE18995</t>
  </si>
  <si>
    <t>BG18114</t>
  </si>
  <si>
    <t>BE12544</t>
  </si>
  <si>
    <t>BG14582</t>
  </si>
  <si>
    <t>BE17797</t>
  </si>
  <si>
    <t>BE17808</t>
  </si>
  <si>
    <t>BG16870</t>
  </si>
  <si>
    <t>3162-1001-3092-5446-9020</t>
  </si>
  <si>
    <t>3162-1001-3092-5446-9019</t>
  </si>
  <si>
    <t>3162-1001-3092-5446-9002</t>
  </si>
  <si>
    <t>3162-1001-3092-5446-9027</t>
  </si>
  <si>
    <t>3162-1001-4022-5446-0165</t>
  </si>
  <si>
    <t>3162-1001-4022-5446-0111</t>
  </si>
  <si>
    <t>3162-1001-4022-5446-0116</t>
  </si>
  <si>
    <t>Narada Battery 12NDF100</t>
  </si>
  <si>
    <t>Solar Panel on Site</t>
  </si>
  <si>
    <t>-</t>
  </si>
  <si>
    <t>UR002014</t>
  </si>
  <si>
    <t>Return Loan Note: 17-002 dated 18/07/2017.</t>
  </si>
  <si>
    <t>Return Loan Note: 17-003 dated 11/08/2017.</t>
  </si>
  <si>
    <t>Return Loan Note: 17-005 dated 22/08/2017.</t>
  </si>
  <si>
    <t>TOPCON GT-1001</t>
  </si>
  <si>
    <t>UQ003807</t>
  </si>
  <si>
    <t>UQ003810</t>
  </si>
  <si>
    <t>UQ003832</t>
  </si>
  <si>
    <t>FB920064764</t>
  </si>
  <si>
    <t>FB920064763</t>
  </si>
  <si>
    <t>FB920064762</t>
  </si>
  <si>
    <t>FB920064761</t>
  </si>
  <si>
    <t>FB920064760</t>
  </si>
  <si>
    <t>FB920064759</t>
  </si>
  <si>
    <t>FB920064758</t>
  </si>
  <si>
    <t>FB920064757</t>
  </si>
  <si>
    <t>FB920064756</t>
  </si>
  <si>
    <t>FB920064755</t>
  </si>
  <si>
    <t>FB824058478</t>
  </si>
  <si>
    <t>FB824058477</t>
  </si>
  <si>
    <t>FB824058476</t>
  </si>
  <si>
    <t>FB824058475</t>
  </si>
  <si>
    <t>FB824058474</t>
  </si>
  <si>
    <t>FB824058473</t>
  </si>
  <si>
    <t>FB824058472</t>
  </si>
  <si>
    <t>FB824058471</t>
  </si>
  <si>
    <t>T315 Tanah Merah (Stn 1)</t>
  </si>
  <si>
    <t>T315 Tanah Merah (Stn 2)</t>
  </si>
  <si>
    <t>Return Loan Note: 17-006 dated 13/11/2017.</t>
  </si>
  <si>
    <t>Instrument return on 13/10/2017. The original carton box with accessories return on 27/11/2017 (refer to Return Loan Note: 17-007 dated 27/11/2017)</t>
  </si>
  <si>
    <t>Return Loan Note: 17-008 dated 21/12/2017</t>
  </si>
  <si>
    <t>UR002406</t>
  </si>
  <si>
    <t>UQ003862</t>
  </si>
  <si>
    <t>Return Loan Note: 18-001 dated 09/01/2018</t>
  </si>
  <si>
    <t>UQ003847</t>
  </si>
  <si>
    <t>Cluny Park</t>
  </si>
  <si>
    <t>Return Loan Note: 18-002 dated 23/02/2018</t>
  </si>
  <si>
    <t>Sokkia SX-101T/S</t>
  </si>
  <si>
    <t>Z70176</t>
  </si>
  <si>
    <t>On Loan (Loan Note: 18-004)</t>
  </si>
  <si>
    <t>Teltonika RUT955 LTE with Dual Sim Router, 4 x Ethernet Ports</t>
  </si>
  <si>
    <t>09311008</t>
  </si>
  <si>
    <t>RUT955H7V180</t>
  </si>
  <si>
    <t>Lot / IMEI No</t>
  </si>
  <si>
    <t>861107031665731</t>
  </si>
  <si>
    <t>09311009</t>
  </si>
  <si>
    <t>861107031543540</t>
  </si>
  <si>
    <t>FC8080155652</t>
  </si>
  <si>
    <t>FC8080155643</t>
  </si>
  <si>
    <t>FC8080155642</t>
  </si>
  <si>
    <t>FC8080155648</t>
  </si>
  <si>
    <t>FC8080155649</t>
  </si>
  <si>
    <t>FC8080155653</t>
  </si>
  <si>
    <t>FC8080155651</t>
  </si>
  <si>
    <t>FC8080155645</t>
  </si>
  <si>
    <t>FC8080155646</t>
  </si>
  <si>
    <t>FC8080155641</t>
  </si>
  <si>
    <t>FC8080155654</t>
  </si>
  <si>
    <t>FC8080155644</t>
  </si>
  <si>
    <t>FC8080155640</t>
  </si>
  <si>
    <t>FC8080155647</t>
  </si>
  <si>
    <t>FC8080155650</t>
  </si>
  <si>
    <t>PO:</t>
  </si>
  <si>
    <t>P1800115</t>
  </si>
  <si>
    <t>C821A KCD</t>
  </si>
  <si>
    <t>MSP Office (Stock)</t>
  </si>
  <si>
    <t>IMEI</t>
  </si>
  <si>
    <t>869845023683475</t>
  </si>
  <si>
    <t>869845023689118</t>
  </si>
  <si>
    <t>869845023689092</t>
  </si>
  <si>
    <t>869845023682881</t>
  </si>
  <si>
    <t>869845023682915</t>
  </si>
  <si>
    <t>869845023689084</t>
  </si>
  <si>
    <t>869845023689167</t>
  </si>
  <si>
    <t>869845023683491</t>
  </si>
  <si>
    <t>869845023689035</t>
  </si>
  <si>
    <t>869845023683079</t>
  </si>
  <si>
    <t>869845023689126</t>
  </si>
  <si>
    <t>869845023682956</t>
  </si>
  <si>
    <t>869845023689001</t>
  </si>
  <si>
    <t>869845023682998</t>
  </si>
  <si>
    <t>869845023688995</t>
  </si>
  <si>
    <t>Inv: 18001800</t>
  </si>
  <si>
    <t>BND-WILOW-AX-3D-2G/AX-3D-2G</t>
  </si>
  <si>
    <t>5C313E06A6070000</t>
  </si>
  <si>
    <t>5C313E06A6D20000</t>
  </si>
  <si>
    <t>5C313E06A6FE0000</t>
  </si>
  <si>
    <t>5C313E06A9850000</t>
  </si>
  <si>
    <t>5C313E06A9CE0000</t>
  </si>
  <si>
    <t>5C313E06A9D80000</t>
  </si>
  <si>
    <t>5C313E06A9DA0000</t>
  </si>
  <si>
    <t>5C313E06A9E40000</t>
  </si>
  <si>
    <t>5C313E06AA520000</t>
  </si>
  <si>
    <t>5C313E06ABFA0000</t>
  </si>
  <si>
    <t>5C313E0704660000</t>
  </si>
  <si>
    <t>5C313E0704CI0000</t>
  </si>
  <si>
    <t>5C313E0708AC0000</t>
  </si>
  <si>
    <t>P1800086</t>
  </si>
  <si>
    <t>Inv: SA38078</t>
  </si>
  <si>
    <t>SCIGATE Automation (S) Pte Ltd</t>
  </si>
  <si>
    <t>Central Boulevard</t>
  </si>
  <si>
    <t>Sokkia NET1AXT11T/TE2</t>
  </si>
  <si>
    <t>KH0318</t>
  </si>
  <si>
    <t>KH0319</t>
  </si>
  <si>
    <t>KH0320</t>
  </si>
  <si>
    <t>KH0321</t>
  </si>
  <si>
    <t>KH0322</t>
  </si>
  <si>
    <t>KH0329</t>
  </si>
  <si>
    <t>KH0330</t>
  </si>
  <si>
    <t>KH0332</t>
  </si>
  <si>
    <t>KH0333</t>
  </si>
  <si>
    <t>KH0338</t>
  </si>
  <si>
    <t>KH0350</t>
  </si>
  <si>
    <t>KH0351</t>
  </si>
  <si>
    <t>KH0352</t>
  </si>
  <si>
    <t>KH0354</t>
  </si>
  <si>
    <t>KH0355</t>
  </si>
  <si>
    <t>KH0356</t>
  </si>
  <si>
    <t>KH0358</t>
  </si>
  <si>
    <t>KH0359</t>
  </si>
  <si>
    <t>KH0353</t>
  </si>
  <si>
    <t>KH0348</t>
  </si>
  <si>
    <t>Return without repair. Store in KODI</t>
  </si>
  <si>
    <t>Fourth Avenue</t>
  </si>
  <si>
    <t>SOKKIA NET1P51TN-22 Mono Mobile 3-D Station Complete with:
2 x BDC58 battery
1 x CDC68 charger
1 x EDC131 cable</t>
  </si>
  <si>
    <t>S/I-002963</t>
  </si>
  <si>
    <t>P1800229</t>
  </si>
  <si>
    <t>SOKKIA NET1AXT11T/TE2 Automated 3D Station complete with:
2 x BDC58 rechargeable battery
1 x CDC68 charger
1 x EDC113 cable for CDC68</t>
  </si>
  <si>
    <t>SOKKIA NET-1M Mono Mobile 3-D Station Complete with:
2 x rechargeable battery
1 x charger
1 x EDC131A cable</t>
  </si>
  <si>
    <t>SOKKIA NET-1M Mono Mobile 3-D Station Complete with:
2 x rechargeable battery
1 x charger
1 x EDC131 cable</t>
  </si>
  <si>
    <t>SOKKIA NET1AXT51TM-21 Automated 3-D Station Complete with:
2 x BDC58 rechargeable battery
1 x CDC68 charger
1 x EDC113 cable for CDC68</t>
  </si>
  <si>
    <t>SOKKIA NET-1M Mono Mobile 3-D Station Complete with:
2 x rechargeable battery
1 x charger 1 x cable</t>
  </si>
  <si>
    <t>Solar Panel in MSP Office</t>
  </si>
  <si>
    <t>Quantity</t>
  </si>
  <si>
    <t>Unit Price</t>
  </si>
  <si>
    <t>100Wp Solar panel</t>
  </si>
  <si>
    <t>ERSS</t>
  </si>
  <si>
    <t xml:space="preserve">Bedok Canal </t>
  </si>
  <si>
    <t>SMUX (Fort Canning Link Tunnel)</t>
  </si>
  <si>
    <t>Battery in MSP Office</t>
  </si>
  <si>
    <t>FUKUDA ES100-12FT Sealed AGM M/F Battery</t>
  </si>
  <si>
    <t>30111004431303100795</t>
  </si>
  <si>
    <t>31621001402254460122</t>
  </si>
  <si>
    <t>31621001403074460079</t>
  </si>
  <si>
    <t>2011010002180326010000700</t>
  </si>
  <si>
    <t>Narada Battery 12NDT100S</t>
  </si>
  <si>
    <t>2011010002180326010000799</t>
  </si>
  <si>
    <t>Battery on Site</t>
  </si>
  <si>
    <t>Bedok Canal (Stn 1)</t>
  </si>
  <si>
    <t>Bedok Canal (Stn 2)</t>
  </si>
  <si>
    <t>Bedok Canal (Stn 3)</t>
  </si>
  <si>
    <t>Serial Number</t>
  </si>
  <si>
    <t>Instantel Vibration Meter</t>
  </si>
  <si>
    <t>Instantel Triaxial Geophone</t>
  </si>
  <si>
    <t>BG11736</t>
  </si>
  <si>
    <t>BE16665</t>
  </si>
  <si>
    <t>BG15684</t>
  </si>
  <si>
    <t>BE17799</t>
  </si>
  <si>
    <t>BG16869</t>
  </si>
  <si>
    <t>BE15741</t>
  </si>
  <si>
    <t>BG14925</t>
  </si>
  <si>
    <t>BE9268</t>
  </si>
  <si>
    <t>BE17798</t>
  </si>
  <si>
    <t>BG16864</t>
  </si>
  <si>
    <t>BE8538</t>
  </si>
  <si>
    <t>BG10021</t>
  </si>
  <si>
    <t>BE15738</t>
  </si>
  <si>
    <t>BG14713</t>
  </si>
  <si>
    <t>BE15736</t>
  </si>
  <si>
    <t>BG14714</t>
  </si>
  <si>
    <t>BE17800</t>
  </si>
  <si>
    <t>BG16863</t>
  </si>
  <si>
    <t>Royalville</t>
  </si>
  <si>
    <t>BE18996</t>
  </si>
  <si>
    <t>BG18116</t>
  </si>
  <si>
    <t>BE17796</t>
  </si>
  <si>
    <t>Mount Elizabeth Novena Hospital</t>
  </si>
  <si>
    <t>BG16862</t>
  </si>
  <si>
    <t>BE18519</t>
  </si>
  <si>
    <t>BG14710</t>
  </si>
  <si>
    <t>BE12747</t>
  </si>
  <si>
    <t>BE18994</t>
  </si>
  <si>
    <t>BG18115</t>
  </si>
  <si>
    <t>BE15404</t>
  </si>
  <si>
    <t>BG11549</t>
  </si>
  <si>
    <t>BE12746</t>
  </si>
  <si>
    <t>BG11735</t>
  </si>
  <si>
    <t>ACO Noise Meter</t>
  </si>
  <si>
    <t>181151/ 7146 70203</t>
  </si>
  <si>
    <t>A&amp;E Department Mount Elizabeth Hospital Novena (MENH)</t>
  </si>
  <si>
    <t>181152/ 7146 70204</t>
  </si>
  <si>
    <t>Ministry of Home Affairs Irrawaddy Road (MENH)</t>
  </si>
  <si>
    <t>181153/ 7146 70205</t>
  </si>
  <si>
    <t>National Neuro Science Institute Irrawaddy Road (RT) (MENH)</t>
  </si>
  <si>
    <t>TPMA (DUBAI)</t>
  </si>
  <si>
    <t>Central Boulevard (Stn 1)</t>
  </si>
  <si>
    <t>Central Boulevard (CST)</t>
  </si>
  <si>
    <t>C821A KCD (Bartley Viaduct - Stn 1)</t>
  </si>
  <si>
    <t>C821A KCD (Bartley Viaduct - Stn 2)</t>
  </si>
  <si>
    <t>C821A KCD (Bartley Viaduct - Stn 3)</t>
  </si>
  <si>
    <t>C821A KCD (Bartley Viaduct - Stn 4)</t>
  </si>
  <si>
    <t>C821A KCD (Bartley Viaduct - Stn 5)</t>
  </si>
  <si>
    <t>C821A KCD (Bartley Viaduct Stn 6)</t>
  </si>
  <si>
    <t>C821A KCD (Bartley Viaduct Stn 7)</t>
  </si>
  <si>
    <t>C821A KCD (Bartley Viaduct Stn 8)</t>
  </si>
  <si>
    <t>C821A KCD (Bartley Viaduct Stn 9)</t>
  </si>
  <si>
    <t>221-223 PPJ (Harbour View Garden)</t>
  </si>
  <si>
    <t>Upper Changi Road East</t>
  </si>
  <si>
    <t>P1800167</t>
  </si>
  <si>
    <t>Inv: 18002285</t>
  </si>
  <si>
    <t>FCA160199972</t>
  </si>
  <si>
    <t>869845024176800</t>
  </si>
  <si>
    <t>FCA160199964</t>
  </si>
  <si>
    <t>C821A KCD (Kim Chuan Depot - Stn 1)</t>
  </si>
  <si>
    <t>869845024177006</t>
  </si>
  <si>
    <t>FCA160199965</t>
  </si>
  <si>
    <t>C821A KCD (Kim Chuan Depot - Stn 2)</t>
  </si>
  <si>
    <t>869845024176826</t>
  </si>
  <si>
    <t>FCA160199971</t>
  </si>
  <si>
    <t>C821A KCD (Kim Chuan Depot - S8)</t>
  </si>
  <si>
    <t>869845024176784</t>
  </si>
  <si>
    <t>FCA160199967</t>
  </si>
  <si>
    <t>869845024176958</t>
  </si>
  <si>
    <t>FCA160199966</t>
  </si>
  <si>
    <t>869845024176990</t>
  </si>
  <si>
    <t>FCA160199970</t>
  </si>
  <si>
    <t>869845024173153</t>
  </si>
  <si>
    <t>FCA160199969</t>
  </si>
  <si>
    <t>869845024173740</t>
  </si>
  <si>
    <t>FCA160199973</t>
  </si>
  <si>
    <t>C821A KCD (Kim Chuan Depot - Stn 3)</t>
  </si>
  <si>
    <t>869845024176768</t>
  </si>
  <si>
    <t>FCA160199968</t>
  </si>
  <si>
    <t>C821A KCD (Kim Chuan Depot - Stn 4)</t>
  </si>
  <si>
    <t>869845024176859</t>
  </si>
  <si>
    <t>Bidadari (Station 1)</t>
  </si>
  <si>
    <t>Beanair Sensor</t>
  </si>
  <si>
    <t>P1700038</t>
  </si>
  <si>
    <t>Inv: SA36672</t>
  </si>
  <si>
    <t>0X00158D00000E0601</t>
  </si>
  <si>
    <t>BND-ONE-TH/ONE-TH</t>
  </si>
  <si>
    <t>0X00158D00000E08FA</t>
  </si>
  <si>
    <t>0X00158D00000E09EE</t>
  </si>
  <si>
    <t>0X00158D00000E09EF</t>
  </si>
  <si>
    <t>0X00158D00000E0B2A</t>
  </si>
  <si>
    <t>0X00158D00000E0B36</t>
  </si>
  <si>
    <t>0X00158D00000E0B37</t>
  </si>
  <si>
    <t xml:space="preserve"> 0X00158D00000E0B39</t>
  </si>
  <si>
    <t>0X00158D00000E0B3B</t>
  </si>
  <si>
    <t>0X00158D00000E0B3C</t>
  </si>
  <si>
    <t>0X00158D00000E0B3E</t>
  </si>
  <si>
    <t>0X00158D00000E0B3F</t>
  </si>
  <si>
    <t>P1700132</t>
  </si>
  <si>
    <t>Inv: SA37516</t>
  </si>
  <si>
    <t>BNSC-WILOW-BASIC/BeanScape Wilow - Basic</t>
  </si>
  <si>
    <t>A4D57843E0E70000</t>
  </si>
  <si>
    <t>A4D57843DF440000</t>
  </si>
  <si>
    <t>A4D57843DE6D0000</t>
  </si>
  <si>
    <t>A4D57843DE4D0000</t>
  </si>
  <si>
    <t>5C313E0704820000</t>
  </si>
  <si>
    <t>5C313E06AA290000</t>
  </si>
  <si>
    <t>5C313E06A9EA0000</t>
  </si>
  <si>
    <t>5C313E06A9B50000</t>
  </si>
  <si>
    <t>Sensor</t>
  </si>
  <si>
    <t>P1800106</t>
  </si>
  <si>
    <t>Inv: INV167321</t>
  </si>
  <si>
    <t>Monnit Corporation</t>
  </si>
  <si>
    <t>P/N</t>
  </si>
  <si>
    <t>MSN2-4-W2-TS-ST</t>
  </si>
  <si>
    <t>Alta Temperature Sensor</t>
  </si>
  <si>
    <t>msn2-4-w2-US-ST</t>
  </si>
  <si>
    <t>Alta Ultrasonice Sensor</t>
  </si>
  <si>
    <t>msn2-4-w2-AC-IM</t>
  </si>
  <si>
    <t>Accelerometer - Impact Detection</t>
  </si>
  <si>
    <t>msn2-4-w2-AC-VM</t>
  </si>
  <si>
    <t>Vibration Meter</t>
  </si>
  <si>
    <t>msn2-4-w2-AC-TL</t>
  </si>
  <si>
    <t>Accelerometer-Tilt Sensor</t>
  </si>
  <si>
    <t>msn2-4-EG-EGW</t>
  </si>
  <si>
    <t>Ethernaet Gateway</t>
  </si>
  <si>
    <t>MNW-IP-006</t>
  </si>
  <si>
    <t>iMonnt Portal</t>
  </si>
  <si>
    <t>MNS2-4-W2-TS-TC-KT</t>
  </si>
  <si>
    <t>Alta Thermocouple Temperature Sensore</t>
  </si>
  <si>
    <t>Inclinometer &amp; Gateway</t>
  </si>
  <si>
    <t>P1700129</t>
  </si>
  <si>
    <t xml:space="preserve">Inv: PIE171211-2MSP(R) </t>
  </si>
  <si>
    <t>Shanghai Zhichuan Electronic Tech Co., Ltd</t>
  </si>
  <si>
    <t>ZCT600ML-215SR</t>
  </si>
  <si>
    <t>Inclinometer (without battery) ZCT600ML-215SR</t>
  </si>
  <si>
    <t>ZCT600ML-GW</t>
  </si>
  <si>
    <t>Gateway (without battery) ZCT600ML-GW</t>
  </si>
  <si>
    <t>P1700117</t>
  </si>
  <si>
    <t>Inv: PIE171110-1MSP</t>
  </si>
  <si>
    <t>Inclinometer ZCT600ML-215SR</t>
  </si>
  <si>
    <t>R&amp;D</t>
  </si>
  <si>
    <t>Gateway ZCT600ML-GW</t>
  </si>
  <si>
    <t>P1800013</t>
  </si>
  <si>
    <t>Inv: PIE180122-3MSP</t>
  </si>
  <si>
    <t xml:space="preserve"> ZCT600ML-GW</t>
  </si>
  <si>
    <t>P1800036R</t>
  </si>
  <si>
    <t xml:space="preserve">Inv: PIE180314-4MSP(R) </t>
  </si>
  <si>
    <t xml:space="preserve"> ZCT600ML-215SR</t>
  </si>
  <si>
    <t>P1800042</t>
  </si>
  <si>
    <t>Inv: PIE180327-5MSP</t>
  </si>
  <si>
    <t>P1800137</t>
  </si>
  <si>
    <t>Inv: PIE180831-6MSP</t>
  </si>
  <si>
    <t>ZCT800ML-G01</t>
  </si>
  <si>
    <t>Gateway ZCT800ML-G01</t>
  </si>
  <si>
    <t>ZCT800ML-S215</t>
  </si>
  <si>
    <t>Lora node (without battery) ZCT800ML-S215</t>
  </si>
  <si>
    <t>P1800156</t>
  </si>
  <si>
    <t>Inv: PIE181213-7MSP</t>
  </si>
  <si>
    <t xml:space="preserve">DPI-8 Imager Kit includes
- 1 Android Samsung Galaxy Tab S2 9.7 Tablet  10 with Handheld Scanner
- 1 pair of virtual reality goggle headset (HTC Vive) 
- 1 Aftershock PC </t>
  </si>
  <si>
    <t>GG-05Dist
Trolley for measurement of railway track parameters and distance travelled</t>
  </si>
  <si>
    <t>9 000,00 €</t>
  </si>
  <si>
    <t xml:space="preserve">3D scanner set consist of:
- 3D Scanner Micron 10Mpix scanning head 
- heavy duty tripod 
- rotary stage small 
- rotary stage large 
- calibration plate </t>
  </si>
  <si>
    <t>Updated:</t>
  </si>
  <si>
    <t>Item</t>
  </si>
  <si>
    <t>QTY</t>
  </si>
  <si>
    <t>Prism (New)</t>
  </si>
  <si>
    <t>25mm</t>
  </si>
  <si>
    <t>Prism (on Site)</t>
  </si>
  <si>
    <t xml:space="preserve"> </t>
  </si>
  <si>
    <t>Total:</t>
  </si>
  <si>
    <t>FF037</t>
  </si>
  <si>
    <t>Royalville (Expo Bound)</t>
  </si>
  <si>
    <t>BG19021</t>
  </si>
  <si>
    <t>Four-Faith Router</t>
  </si>
  <si>
    <t>FF059</t>
  </si>
  <si>
    <t>FF005</t>
  </si>
  <si>
    <t>Updated</t>
  </si>
  <si>
    <t>869845022269763</t>
  </si>
  <si>
    <t>FF No.</t>
  </si>
  <si>
    <t>MSP-0018</t>
  </si>
  <si>
    <t>P1400008</t>
  </si>
  <si>
    <t>FD2210275196</t>
  </si>
  <si>
    <t>Xiamen Four-Faith F3427</t>
  </si>
  <si>
    <t>869845024666511</t>
  </si>
  <si>
    <t>FF001</t>
  </si>
  <si>
    <t>FD2210275198</t>
  </si>
  <si>
    <t>869845024660381</t>
  </si>
  <si>
    <t>FF046</t>
  </si>
  <si>
    <t>FF072</t>
  </si>
  <si>
    <t>FD2210275199</t>
  </si>
  <si>
    <t>869845024660456</t>
  </si>
  <si>
    <t>FF073</t>
  </si>
  <si>
    <t>FD2210275201</t>
  </si>
  <si>
    <t>869845024660837</t>
  </si>
  <si>
    <t>FF075</t>
  </si>
  <si>
    <t>FF063</t>
  </si>
  <si>
    <t>FF066</t>
  </si>
  <si>
    <t>FF065</t>
  </si>
  <si>
    <t>FF045</t>
  </si>
  <si>
    <t>FF056</t>
  </si>
  <si>
    <t>FF067</t>
  </si>
  <si>
    <t>FF064</t>
  </si>
  <si>
    <t>FF071</t>
  </si>
  <si>
    <t>FF070</t>
  </si>
  <si>
    <t>FF069</t>
  </si>
  <si>
    <t>FF068</t>
  </si>
  <si>
    <t>FF012</t>
  </si>
  <si>
    <t>FF013</t>
  </si>
  <si>
    <t>FF060</t>
  </si>
  <si>
    <t>FF051</t>
  </si>
  <si>
    <t>FF024</t>
  </si>
  <si>
    <t>FF057</t>
  </si>
  <si>
    <t>FF058</t>
  </si>
  <si>
    <t>FF053</t>
  </si>
  <si>
    <t>FF054</t>
  </si>
  <si>
    <t>FF055</t>
  </si>
  <si>
    <t>FF003</t>
  </si>
  <si>
    <t>FF061</t>
  </si>
  <si>
    <t>Royalville (BB Bound)</t>
  </si>
  <si>
    <t>Murnane Pipeline Package 5 - EWL (Tiong Bahru - East Bound)</t>
  </si>
  <si>
    <t>Fourth Avenue (BB Bound)</t>
  </si>
  <si>
    <t>Fourth Avenue (Expo Bound)</t>
  </si>
  <si>
    <t>Royalville (Expo Bound - Stn 1)</t>
  </si>
  <si>
    <t>FF007</t>
  </si>
  <si>
    <t>Fourth Avenue (Expo Bound - Stn 1)</t>
  </si>
  <si>
    <t>869845022270522</t>
  </si>
  <si>
    <t>FF048</t>
  </si>
  <si>
    <t>FF076</t>
  </si>
  <si>
    <t>BE18523</t>
  </si>
  <si>
    <t>BG17659</t>
  </si>
  <si>
    <t>C821A KCD (Bartley Viaduct Stn 3)</t>
  </si>
  <si>
    <t>Fourth Avenue (BB Bound - Stn 1)</t>
  </si>
  <si>
    <t>Fourth Avenue (BB Bound - Stn 2)</t>
  </si>
  <si>
    <t>Goods returned to kodi. (Credit Note: CN-000044 DD 07/01/19)</t>
  </si>
  <si>
    <t>FD2210275197</t>
  </si>
  <si>
    <t>869845024660902</t>
  </si>
  <si>
    <t>FF018</t>
  </si>
  <si>
    <t>864881028056883</t>
  </si>
  <si>
    <t>FF021</t>
  </si>
  <si>
    <t>864881023189309</t>
  </si>
  <si>
    <t>869845022270670</t>
  </si>
  <si>
    <t>FF049</t>
  </si>
  <si>
    <t>KH0362</t>
  </si>
  <si>
    <t>KH0395</t>
  </si>
  <si>
    <t>KH0396</t>
  </si>
  <si>
    <t>KH0397</t>
  </si>
  <si>
    <t>KH0398</t>
  </si>
  <si>
    <t>KH0400</t>
  </si>
  <si>
    <t>KH0402</t>
  </si>
  <si>
    <t>KH0405</t>
  </si>
  <si>
    <t>KH0406</t>
  </si>
  <si>
    <t>KH0411</t>
  </si>
  <si>
    <t>FF002</t>
  </si>
  <si>
    <t>FF044</t>
  </si>
  <si>
    <t>869845022270738</t>
  </si>
  <si>
    <t>FD2210275200</t>
  </si>
  <si>
    <t>869845024662007</t>
  </si>
  <si>
    <t>FF074</t>
  </si>
  <si>
    <t>PIE Viaduct (Thomson Flyover) - AMMS 14</t>
  </si>
  <si>
    <t>PIE Viaduct (Thomson Viaduct) - AMMS 16</t>
  </si>
  <si>
    <t>PIE Viaduct (Thomson Viaduct) - AMMS 17</t>
  </si>
  <si>
    <t>Expo MRT Station (T313/C922) - BB Bound</t>
  </si>
  <si>
    <t>Expo MRT Station (T313/C922) - Expo Bound</t>
  </si>
  <si>
    <t>FD3040281045</t>
  </si>
  <si>
    <t>FF077</t>
  </si>
  <si>
    <t>FD3040281046</t>
  </si>
  <si>
    <t>FF078</t>
  </si>
  <si>
    <t>FD3040281047</t>
  </si>
  <si>
    <t>FF079</t>
  </si>
  <si>
    <t>FD3040281048</t>
  </si>
  <si>
    <t>FF080</t>
  </si>
  <si>
    <t>FD3040281049</t>
  </si>
  <si>
    <t>FF081</t>
  </si>
  <si>
    <t>FD3040281050</t>
  </si>
  <si>
    <t>FF082</t>
  </si>
  <si>
    <t>FD3040281051</t>
  </si>
  <si>
    <t>FF083</t>
  </si>
  <si>
    <t>FD3040281052</t>
  </si>
  <si>
    <t>FF084</t>
  </si>
  <si>
    <t>FD3040281053</t>
  </si>
  <si>
    <t>FF085</t>
  </si>
  <si>
    <t>FD3040281054</t>
  </si>
  <si>
    <t>FF086</t>
  </si>
  <si>
    <t>FF022</t>
  </si>
  <si>
    <t>KH0412</t>
  </si>
  <si>
    <t>KH0413</t>
  </si>
  <si>
    <t>KH0416</t>
  </si>
  <si>
    <t>KH0417</t>
  </si>
  <si>
    <t>KH0421</t>
  </si>
  <si>
    <t>KH0422</t>
  </si>
  <si>
    <t>KH0410</t>
  </si>
  <si>
    <t>FF027</t>
  </si>
  <si>
    <t>FF025</t>
  </si>
  <si>
    <t>KH0423</t>
  </si>
  <si>
    <t>N1072</t>
  </si>
  <si>
    <t>FF026</t>
  </si>
  <si>
    <t>Caldecott (Stn 2 - OB)</t>
  </si>
  <si>
    <t>Caldecott (Stn 3 - OB)</t>
  </si>
  <si>
    <t>Caldecott (Stn 4 - OB)</t>
  </si>
  <si>
    <t>Caldecott (Stn 5 - OB)</t>
  </si>
  <si>
    <t>Caldecott (Stn 6 - OB)</t>
  </si>
  <si>
    <t>Caldecott (Stn 3 - IB)</t>
  </si>
  <si>
    <t>Caldecott (Stn 4 - IB)</t>
  </si>
  <si>
    <t>Caldecott (Stn 5 - IB)</t>
  </si>
  <si>
    <t>Caldecott (Stn 6 - IB)</t>
  </si>
  <si>
    <t>KH0429</t>
  </si>
  <si>
    <t>KH0430</t>
  </si>
  <si>
    <t>KH0431</t>
  </si>
  <si>
    <t>KH0432</t>
  </si>
  <si>
    <t>KH0425</t>
  </si>
  <si>
    <t>KH0426</t>
  </si>
  <si>
    <t>KH0427</t>
  </si>
  <si>
    <t>KH0428</t>
  </si>
  <si>
    <t>KH0439</t>
  </si>
  <si>
    <t>KH0438</t>
  </si>
  <si>
    <t>KH0434</t>
  </si>
  <si>
    <t>KH0433</t>
  </si>
  <si>
    <t>FF006</t>
  </si>
  <si>
    <t>FF016</t>
  </si>
  <si>
    <t>869845024572602</t>
  </si>
  <si>
    <t>869845024572743</t>
  </si>
  <si>
    <t>869845024573105</t>
  </si>
  <si>
    <t>869845024572594</t>
  </si>
  <si>
    <t>869845024573121</t>
  </si>
  <si>
    <t>869845024573071</t>
  </si>
  <si>
    <t>869845024572768</t>
  </si>
  <si>
    <t>869845024573097</t>
  </si>
  <si>
    <t>869845024573154</t>
  </si>
  <si>
    <t>869845024572842</t>
  </si>
  <si>
    <t>Sold Four-Faith Router</t>
  </si>
  <si>
    <t>N1062 TEL (Caldecott - Mount Pleasant) (Woodlands Bound)</t>
  </si>
  <si>
    <t>N1062 TEL (Caldecott - Mount Pleasant) (Changi Bound)</t>
  </si>
  <si>
    <t>Caldecott (Stn 1 - Buffer Area)</t>
  </si>
  <si>
    <t>Caldecott (Stn 2 - Buffer Area)</t>
  </si>
  <si>
    <t>P1900139</t>
  </si>
  <si>
    <t>S/I-005199</t>
  </si>
  <si>
    <t>VIBRA+ (Vibration Meter) in MSP Office</t>
  </si>
  <si>
    <t>Profound VIBRA+e</t>
  </si>
  <si>
    <t>VIB0018</t>
  </si>
  <si>
    <t>Description / Model</t>
  </si>
  <si>
    <t>TDA02682</t>
  </si>
  <si>
    <t>VIB0050</t>
  </si>
  <si>
    <t>TDA02653</t>
  </si>
  <si>
    <t>P1900102</t>
  </si>
  <si>
    <t>Inv No:</t>
  </si>
  <si>
    <t>GLS2019/232</t>
  </si>
  <si>
    <t>VIB0053</t>
  </si>
  <si>
    <t>TDA02690</t>
  </si>
  <si>
    <t>Sold to Pilescan Geotechnical Services Pte Ltd</t>
  </si>
  <si>
    <t>P1900115</t>
  </si>
  <si>
    <t>GLS2019/264</t>
  </si>
  <si>
    <t>P1900116</t>
  </si>
  <si>
    <t>GLS2019/265</t>
  </si>
  <si>
    <t>VIB0055</t>
  </si>
  <si>
    <t>TDA02647</t>
  </si>
  <si>
    <t>VIBRA+ (Vibration Meter) Sold</t>
  </si>
  <si>
    <t>FD5280320378</t>
  </si>
  <si>
    <t>FD5280320372</t>
  </si>
  <si>
    <t>FD5280320379</t>
  </si>
  <si>
    <t>FD5280320375</t>
  </si>
  <si>
    <t>FD5280320374</t>
  </si>
  <si>
    <t>FD5280320376</t>
  </si>
  <si>
    <t>FD5280320370</t>
  </si>
  <si>
    <t>FD5280320367</t>
  </si>
  <si>
    <t>FD5280320377</t>
  </si>
  <si>
    <t>FD5280320365</t>
  </si>
  <si>
    <t>FD5280320371</t>
  </si>
  <si>
    <t>FD5280320373</t>
  </si>
  <si>
    <t>FD5280320368</t>
  </si>
  <si>
    <t>FD5280320369</t>
  </si>
  <si>
    <t>FD5280320366</t>
  </si>
  <si>
    <t>860461024721998</t>
  </si>
  <si>
    <t>860461024722269</t>
  </si>
  <si>
    <t>860461024722772</t>
  </si>
  <si>
    <t>860461024721527</t>
  </si>
  <si>
    <t>860461024765037</t>
  </si>
  <si>
    <t>860461024731948</t>
  </si>
  <si>
    <t>860461024734322</t>
  </si>
  <si>
    <t>860461024722715</t>
  </si>
  <si>
    <t>860461024722004</t>
  </si>
  <si>
    <t>860461024721949</t>
  </si>
  <si>
    <t>860461024726971</t>
  </si>
  <si>
    <t>860461024723986</t>
  </si>
  <si>
    <t>860461024732375</t>
  </si>
  <si>
    <t>860461024739654</t>
  </si>
  <si>
    <t>860461024740717</t>
  </si>
  <si>
    <t>FF95</t>
  </si>
  <si>
    <t>FF98</t>
  </si>
  <si>
    <t>FF97</t>
  </si>
  <si>
    <t>FF93</t>
  </si>
  <si>
    <t>FF90</t>
  </si>
  <si>
    <t>FF88</t>
  </si>
  <si>
    <t>FF94</t>
  </si>
  <si>
    <t>FF96</t>
  </si>
  <si>
    <t>FF91</t>
  </si>
  <si>
    <t>FF92</t>
  </si>
  <si>
    <t>FF89</t>
  </si>
  <si>
    <t>Xiamen Four-Faith F3427 Modem</t>
  </si>
  <si>
    <t>P1900033</t>
  </si>
  <si>
    <t>P1900046</t>
  </si>
  <si>
    <t>PIE Viaduct (Stn 2)</t>
  </si>
  <si>
    <t>PIE Viaduct (Stn 4)</t>
  </si>
  <si>
    <t>PIE Viaduct (Stn 6)</t>
  </si>
  <si>
    <t>T315 (Stn 1)</t>
  </si>
  <si>
    <t>T315 (Stn 2)</t>
  </si>
  <si>
    <t>C821A KCD (Stn 1)</t>
  </si>
  <si>
    <t>C821A KCD (Stn 2)</t>
  </si>
  <si>
    <t>C821A KCD (Stn 3)</t>
  </si>
  <si>
    <t>C821A KCD (Stn 4)</t>
  </si>
  <si>
    <t>C821A KCD (Stn 5)</t>
  </si>
  <si>
    <t>C821A KCD (Stn 6)</t>
  </si>
  <si>
    <t>C821A KCD (Stn 7)</t>
  </si>
  <si>
    <t>C821A KCD (Stn 8)</t>
  </si>
  <si>
    <t>C821A KCD (Stn 9)</t>
  </si>
  <si>
    <t>Mount Elizabeth Novena Hospital (VM1)</t>
  </si>
  <si>
    <t>Mount Elizabeth Novena Hospital (VM2)</t>
  </si>
  <si>
    <t>Mount Elizabeth Novena Hospital (VM3)</t>
  </si>
  <si>
    <t>Mount Elizabeth Novena Hospital (NM1)</t>
  </si>
  <si>
    <t>Mount Elizabeth Novena Hospital (SB - Stn 1)</t>
  </si>
  <si>
    <t>Mount Elizabeth Novena Hospital (NB - Stn 1)</t>
  </si>
  <si>
    <t>Fourth Avenue (BB - Stn 2)</t>
  </si>
  <si>
    <t>Fourth Avenue (XP - Stn 1)</t>
  </si>
  <si>
    <t>Fourth Avenue (XP - Stn 2)</t>
  </si>
  <si>
    <t>T313-922 (Stn 1)</t>
  </si>
  <si>
    <t>T313-922 (Stn 2)</t>
  </si>
  <si>
    <t>N1072 Caldecott MRT Stn (CCL) (OB - Stn 1)</t>
  </si>
  <si>
    <t>N1072 Caldecott MRT Stn (CCL) (OB - Stn 2)</t>
  </si>
  <si>
    <t>N1072 Caldecott MRT Stn (CCL) (OB - Stn 3)</t>
  </si>
  <si>
    <t>N1072 Caldecott MRT Stn (CCL) (OB - Stn 4)</t>
  </si>
  <si>
    <t>N1072 Caldecott MRT Stn (CCL) (OB - Stn 5)</t>
  </si>
  <si>
    <t>N1072 Caldecott MRT Stn (CCL) (OB - Stn 6)</t>
  </si>
  <si>
    <t>N1072 Caldecott MRT Stn (CCL) (IB - Stn 1)</t>
  </si>
  <si>
    <t>N1072 Caldecott MRT Stn (CCL) (IB - Stn 2)</t>
  </si>
  <si>
    <t>N1072 Caldecott MRT Stn (CCL) (IB - Stn 3)</t>
  </si>
  <si>
    <t>N1072 Caldecott MRT Stn (CCL) (IB - Stn 4)</t>
  </si>
  <si>
    <t>N1072 Caldecott MRT Stn (CCL) (IB - Stn 5)</t>
  </si>
  <si>
    <t>N1072 Caldecott MRT Stn (CCL) (IB - Stn 6)</t>
  </si>
  <si>
    <t>Woodleigh MRT Stn (Park Colonial)</t>
  </si>
  <si>
    <t>C821A KCD (Tai Seng Facility Building - Stn 6)</t>
  </si>
  <si>
    <t>C821A KCD (Tai Seng Facility Building - Stn 10)</t>
  </si>
  <si>
    <t>C821A KCD (Tai Seng Facility Building - Stn 11)</t>
  </si>
  <si>
    <t>C821A KCD (Tai Seng Facility Building - Stn 12)</t>
  </si>
  <si>
    <t>P1900079</t>
  </si>
  <si>
    <t>Inv: 19000880</t>
  </si>
  <si>
    <t>FD4250306224</t>
  </si>
  <si>
    <t>Four-Faith Router F3X26-TB Single Sim</t>
  </si>
  <si>
    <t>868020030246655</t>
  </si>
  <si>
    <t>Converter</t>
  </si>
  <si>
    <t>P1900085</t>
  </si>
  <si>
    <t>Inv: 83322755</t>
  </si>
  <si>
    <t>Advantech</t>
  </si>
  <si>
    <t>ADAM 4520 EE</t>
  </si>
  <si>
    <t>RS 232 to RS 422/485 converter w/iso</t>
  </si>
  <si>
    <t>KH0450</t>
  </si>
  <si>
    <t>KH0451</t>
  </si>
  <si>
    <t>KH0452</t>
  </si>
  <si>
    <t>KH0453</t>
  </si>
  <si>
    <t>KH0454</t>
  </si>
  <si>
    <t>KH0455</t>
  </si>
  <si>
    <t>KH0456</t>
  </si>
  <si>
    <t>KH0457</t>
  </si>
  <si>
    <t>KH0458</t>
  </si>
  <si>
    <t>KH0459</t>
  </si>
  <si>
    <t>RC118 (BB)</t>
  </si>
  <si>
    <t>RC118 (Expo)</t>
  </si>
  <si>
    <t>S/I-005355</t>
  </si>
  <si>
    <t>S/I-005356</t>
  </si>
  <si>
    <t>S/I-005354</t>
  </si>
  <si>
    <t>TSFB - STN 9 (Train Wash Track S8TWT)</t>
  </si>
  <si>
    <t>TSFB Stn 12</t>
  </si>
  <si>
    <t>FF087</t>
  </si>
  <si>
    <t>N1072 Caldecott MRT Station 8 (Buffer Area)</t>
  </si>
  <si>
    <t>P1900129</t>
  </si>
  <si>
    <t>VIB0052</t>
  </si>
  <si>
    <t>VIB0057</t>
  </si>
  <si>
    <t>VIB0058</t>
  </si>
  <si>
    <t>VIB0059</t>
  </si>
  <si>
    <t>TDA02669</t>
  </si>
  <si>
    <t>TDA02658</t>
  </si>
  <si>
    <t>TDA02652</t>
  </si>
  <si>
    <t>TDA02688</t>
  </si>
  <si>
    <t>GLS2019/343</t>
  </si>
  <si>
    <t>P1900151</t>
  </si>
  <si>
    <t>FD7260341659</t>
  </si>
  <si>
    <t>FD7260341660</t>
  </si>
  <si>
    <t>FD7260341661</t>
  </si>
  <si>
    <t>FD7260341663</t>
  </si>
  <si>
    <t>FD7260341664</t>
  </si>
  <si>
    <t>FD7260341665</t>
  </si>
  <si>
    <t>FD7260341666</t>
  </si>
  <si>
    <t>FD7260341667</t>
  </si>
  <si>
    <t>Four-Faith F3427 Modem</t>
  </si>
  <si>
    <t>FD7260341662</t>
  </si>
  <si>
    <t>Sold to YSF</t>
  </si>
  <si>
    <t>YSF002</t>
  </si>
  <si>
    <t>FD7260341658</t>
  </si>
  <si>
    <t>866430023974043</t>
  </si>
  <si>
    <t>866430023978473</t>
  </si>
  <si>
    <t>YSF001</t>
  </si>
  <si>
    <t>FF101</t>
  </si>
  <si>
    <t>FF102</t>
  </si>
  <si>
    <t>FF103</t>
  </si>
  <si>
    <t>FF104</t>
  </si>
  <si>
    <t>FF105</t>
  </si>
  <si>
    <t>FF106</t>
  </si>
  <si>
    <t>FF107</t>
  </si>
  <si>
    <t>FF108</t>
  </si>
  <si>
    <t>FF100</t>
  </si>
  <si>
    <t>864881028057147</t>
  </si>
  <si>
    <t>FF034</t>
  </si>
  <si>
    <t>PIE Viaduct (Thomson Flyover) - Stn 19</t>
  </si>
  <si>
    <t>FF008</t>
  </si>
  <si>
    <t>FF009</t>
  </si>
  <si>
    <t>FF004</t>
  </si>
  <si>
    <t>FF010</t>
  </si>
  <si>
    <t>FF011</t>
  </si>
  <si>
    <t>FF014</t>
  </si>
  <si>
    <t>FF015</t>
  </si>
  <si>
    <t>FF017</t>
  </si>
  <si>
    <t>FF019</t>
  </si>
  <si>
    <t>FF020</t>
  </si>
  <si>
    <t>FF023</t>
  </si>
  <si>
    <t>FF028</t>
  </si>
  <si>
    <t>FF029</t>
  </si>
  <si>
    <t>FF030</t>
  </si>
  <si>
    <t>FF031</t>
  </si>
  <si>
    <t>FF032</t>
  </si>
  <si>
    <t>FF033</t>
  </si>
  <si>
    <t>FF035</t>
  </si>
  <si>
    <t>FF036</t>
  </si>
  <si>
    <t>FF038</t>
  </si>
  <si>
    <t>FF039</t>
  </si>
  <si>
    <t>FF040</t>
  </si>
  <si>
    <t>FF041</t>
  </si>
  <si>
    <t>FF042</t>
  </si>
  <si>
    <t>FF043</t>
  </si>
  <si>
    <t>FF047</t>
  </si>
  <si>
    <t>FF050</t>
  </si>
  <si>
    <t>FF052</t>
  </si>
  <si>
    <t>FF088</t>
  </si>
  <si>
    <t>FF089</t>
  </si>
  <si>
    <t>FF091</t>
  </si>
  <si>
    <t>FF092</t>
  </si>
  <si>
    <t>FF093</t>
  </si>
  <si>
    <t>FF094</t>
  </si>
  <si>
    <t>FF095</t>
  </si>
  <si>
    <t>FF096</t>
  </si>
  <si>
    <t>FF097</t>
  </si>
  <si>
    <t>FF098</t>
  </si>
  <si>
    <t>FF099</t>
  </si>
  <si>
    <t>Ophir Road [Contract N1012 (N101)]</t>
  </si>
  <si>
    <t>866430023979117</t>
  </si>
  <si>
    <t>866430023974282</t>
  </si>
  <si>
    <t>864881029694062</t>
  </si>
  <si>
    <t>864881029283296</t>
  </si>
  <si>
    <t>KH0424</t>
  </si>
  <si>
    <t>KH0461</t>
  </si>
  <si>
    <t>KH0462</t>
  </si>
  <si>
    <t>Receive on 20/09/19</t>
  </si>
  <si>
    <t>PO: P1900153</t>
  </si>
  <si>
    <t>Dispose faulty Battery</t>
  </si>
  <si>
    <t>N1062 TEL</t>
  </si>
  <si>
    <t>Holland Village (Inner Bound - Stn 1)</t>
  </si>
  <si>
    <t>Holland Village (Inner Bound - Stn 2)</t>
  </si>
  <si>
    <t>Holland Village (Inner Bound - Stn 3)</t>
  </si>
  <si>
    <t>866430023974191</t>
  </si>
  <si>
    <t>Contract N101 (Ang Mo Kio Ave 6 - Stn 1)</t>
  </si>
  <si>
    <t>N1062 CCL (Caldecott MRT Stn - IB)</t>
  </si>
  <si>
    <t>Holland Road (Inner Bound)</t>
  </si>
  <si>
    <t>WRITE OFF. Store in KODI</t>
  </si>
  <si>
    <t>WRITE OFF.</t>
  </si>
  <si>
    <t>Invoice Date</t>
  </si>
  <si>
    <t>KH0474</t>
  </si>
  <si>
    <t>KH0476</t>
  </si>
  <si>
    <t>KH0481</t>
  </si>
  <si>
    <t>KH0482</t>
  </si>
  <si>
    <t>KH0498</t>
  </si>
  <si>
    <t>Receive on 11/10/19</t>
  </si>
  <si>
    <t>FF110</t>
  </si>
  <si>
    <t>WRITE OFF</t>
  </si>
  <si>
    <t>Return without repair. Write Off</t>
  </si>
  <si>
    <t>Purchased Total Station</t>
  </si>
  <si>
    <t>FF109</t>
  </si>
  <si>
    <t>Holland Village (Outer Bound - Stn 2)</t>
  </si>
  <si>
    <t>Holland Village (Outer Bound - Stn 1)</t>
  </si>
  <si>
    <t>Holland Village (Outer Bound - Stn 3)</t>
  </si>
  <si>
    <t>S/I-006434</t>
  </si>
  <si>
    <t>P1900202</t>
  </si>
  <si>
    <t>864881029283049</t>
  </si>
  <si>
    <t>Inv: 19001017</t>
  </si>
  <si>
    <t>PIE Viaduct (Thomson Flyover) - Stn 27</t>
  </si>
  <si>
    <t>PIE Viaduct (Thomson Flyover) - Amms 11</t>
  </si>
  <si>
    <t>Bedok Canal C2 (Stn 1)</t>
  </si>
  <si>
    <t>N1102</t>
  </si>
  <si>
    <t>866430023974233</t>
  </si>
  <si>
    <t>866430023974142</t>
  </si>
  <si>
    <t>866430023974019</t>
  </si>
  <si>
    <t>866430023974241</t>
  </si>
  <si>
    <t>Receive on 19/11/19</t>
  </si>
  <si>
    <t>KH0478</t>
  </si>
  <si>
    <t>KH0479</t>
  </si>
  <si>
    <t>KH0485</t>
  </si>
  <si>
    <t>KH0489</t>
  </si>
  <si>
    <t>P1900225</t>
  </si>
  <si>
    <t>P1900182</t>
  </si>
  <si>
    <t>S/I-006183</t>
  </si>
  <si>
    <t>Receive on 21/11/19</t>
  </si>
  <si>
    <t>KH0472</t>
  </si>
  <si>
    <t>KH0475</t>
  </si>
  <si>
    <t>KH0486</t>
  </si>
  <si>
    <t>KH0499</t>
  </si>
  <si>
    <t>KH0480</t>
  </si>
  <si>
    <t>KH0492</t>
  </si>
  <si>
    <t>KH0507</t>
  </si>
  <si>
    <t>KH0508</t>
  </si>
  <si>
    <t>P1900227</t>
  </si>
  <si>
    <t>N1112</t>
  </si>
  <si>
    <t>N1112 (Stn 2)</t>
  </si>
  <si>
    <t>N1112 (Stn 1)</t>
  </si>
  <si>
    <t>Receive on 27/11/19</t>
  </si>
  <si>
    <t>KH0471</t>
  </si>
  <si>
    <t>KH0500</t>
  </si>
  <si>
    <t>KH0497</t>
  </si>
  <si>
    <t>P1900239</t>
  </si>
  <si>
    <t>S/I-006830</t>
  </si>
  <si>
    <t>S/I-006829</t>
  </si>
  <si>
    <t>Return Note: 19-004 dated 05/12/2019</t>
  </si>
  <si>
    <t>S/I-007002</t>
  </si>
  <si>
    <t>Purchase</t>
  </si>
  <si>
    <t>Write Off</t>
  </si>
  <si>
    <t>Site</t>
  </si>
  <si>
    <t>Total</t>
  </si>
  <si>
    <t>Old Instrument</t>
  </si>
  <si>
    <t>New Instrument (Include KH0051)</t>
  </si>
  <si>
    <t>P1900259</t>
  </si>
  <si>
    <t>Receive on 20/12/19</t>
  </si>
  <si>
    <t>S/I-007271</t>
  </si>
  <si>
    <t>Receive on 26/12/19</t>
  </si>
  <si>
    <t>KH0512</t>
  </si>
  <si>
    <t>KH0513</t>
  </si>
  <si>
    <t>KH0514</t>
  </si>
  <si>
    <t>KH0515</t>
  </si>
  <si>
    <t>KH0517</t>
  </si>
  <si>
    <t>KH0519</t>
  </si>
  <si>
    <t>KH0518</t>
  </si>
  <si>
    <t>KH0520</t>
  </si>
  <si>
    <t>KH0521</t>
  </si>
  <si>
    <t>KH0522</t>
  </si>
  <si>
    <t>KH0516</t>
  </si>
  <si>
    <t>KH0523</t>
  </si>
  <si>
    <t>KH0526</t>
  </si>
  <si>
    <t>KH0527</t>
  </si>
  <si>
    <t>KH0529</t>
  </si>
  <si>
    <t>KH0530</t>
  </si>
  <si>
    <t>KH0531</t>
  </si>
  <si>
    <t>Receive on 06/01/20</t>
  </si>
  <si>
    <t>N1072 TEL</t>
  </si>
  <si>
    <t>S/I-007284</t>
  </si>
  <si>
    <t>P1900261</t>
  </si>
  <si>
    <t>S/I-007309</t>
  </si>
  <si>
    <t>P2000003</t>
  </si>
  <si>
    <t>N1072 (TEL - Stn 10) Changi Bound</t>
  </si>
  <si>
    <t>N1072 (TEL - Stn 9) Changi Bound</t>
  </si>
  <si>
    <t>N1072 (TEL - Stn 7) Changi Bound</t>
  </si>
  <si>
    <t>PIE Viaduct (Thomson Flyover) - Stn 11</t>
  </si>
  <si>
    <t>N1072 (TEL - Stn 6) Changi Bound</t>
  </si>
  <si>
    <t>866430023979307</t>
  </si>
  <si>
    <t>864881029694815</t>
  </si>
  <si>
    <t>N1112 (Bullion Park Viaduct) - Stn 2</t>
  </si>
  <si>
    <t>N1112 (Bullion Park Viaduct) - Stn 1</t>
  </si>
  <si>
    <t>NET1AX</t>
  </si>
  <si>
    <t>Other Model</t>
  </si>
  <si>
    <t>FF119</t>
  </si>
  <si>
    <t>N107 TEL WB STN8</t>
  </si>
  <si>
    <t>FE114D477829</t>
  </si>
  <si>
    <t>FF116</t>
  </si>
  <si>
    <t>Cluny Park (CPRO - Stn 1)</t>
  </si>
  <si>
    <t>FE114D477824</t>
  </si>
  <si>
    <t>Cluny Park (CPRO - Stn 3)</t>
  </si>
  <si>
    <t>FF114</t>
  </si>
  <si>
    <t>KH0547</t>
  </si>
  <si>
    <t>Receive on 20/03/20</t>
  </si>
  <si>
    <t>FE3160490341</t>
  </si>
  <si>
    <t>FE3160490345</t>
  </si>
  <si>
    <t>FE3160490342</t>
  </si>
  <si>
    <t>FE3160490339</t>
  </si>
  <si>
    <t>FE3160490336</t>
  </si>
  <si>
    <t>FE3160490337</t>
  </si>
  <si>
    <t>FE3160490338</t>
  </si>
  <si>
    <t>FE3160490340</t>
  </si>
  <si>
    <t>FE3160490343</t>
  </si>
  <si>
    <t>FE3160490344</t>
  </si>
  <si>
    <t>862819041409079</t>
  </si>
  <si>
    <t>862819041409376</t>
  </si>
  <si>
    <t>862819041409962</t>
  </si>
  <si>
    <t>862819041410853</t>
  </si>
  <si>
    <t>862819041404518</t>
  </si>
  <si>
    <t>862819041411265</t>
  </si>
  <si>
    <t>862819041407222</t>
  </si>
  <si>
    <t>862819041404492</t>
  </si>
  <si>
    <t>862819041409558</t>
  </si>
  <si>
    <t>862819041411091</t>
  </si>
  <si>
    <t>FF117</t>
  </si>
  <si>
    <t>FF118</t>
  </si>
  <si>
    <t>FF115</t>
  </si>
  <si>
    <t>FF111</t>
  </si>
  <si>
    <t>FF112</t>
  </si>
  <si>
    <t>P1900108</t>
  </si>
  <si>
    <t>Inv: 20000558</t>
  </si>
  <si>
    <t>N1082</t>
  </si>
  <si>
    <t>Inv: 20000142</t>
  </si>
  <si>
    <t>FE1140477827</t>
  </si>
  <si>
    <t>FE1140477825</t>
  </si>
  <si>
    <t>FE1140477824</t>
  </si>
  <si>
    <t>FE1140477828</t>
  </si>
  <si>
    <t>FE1140477830</t>
  </si>
  <si>
    <t>FE1140477823</t>
  </si>
  <si>
    <t>FE1140477826</t>
  </si>
  <si>
    <t>FE1140477829</t>
  </si>
  <si>
    <t>869845024980037</t>
  </si>
  <si>
    <t>869845024971713</t>
  </si>
  <si>
    <t>869845024971689</t>
  </si>
  <si>
    <t>869845024980870</t>
  </si>
  <si>
    <t>869845024980045</t>
  </si>
  <si>
    <t>869845024980995</t>
  </si>
  <si>
    <t>869845024971697</t>
  </si>
  <si>
    <t>869845024980029</t>
  </si>
  <si>
    <t>P2000016</t>
  </si>
  <si>
    <t>P2000054</t>
  </si>
  <si>
    <t>FF113</t>
  </si>
  <si>
    <t>KH0525</t>
  </si>
  <si>
    <t>KH0550</t>
  </si>
  <si>
    <t>KH0549</t>
  </si>
  <si>
    <t>KH0532</t>
  </si>
  <si>
    <t>KH0560</t>
  </si>
  <si>
    <t>Receive on 01/04/20</t>
  </si>
  <si>
    <t>IWMF</t>
  </si>
  <si>
    <t>IWMF (Stn 1)</t>
  </si>
  <si>
    <t>IWMF (Stn 2)</t>
  </si>
  <si>
    <t>IWMF (Stn 3)</t>
  </si>
  <si>
    <t>IWMF (Stn 4)</t>
  </si>
  <si>
    <t>Receive on 13/07/20</t>
  </si>
  <si>
    <t>KH0528</t>
  </si>
  <si>
    <t>KH0533</t>
  </si>
  <si>
    <t>KH0535</t>
  </si>
  <si>
    <t>KH0545</t>
  </si>
  <si>
    <t>KH0546</t>
  </si>
  <si>
    <t>Bedok Canal C2 (Stn 2)</t>
  </si>
  <si>
    <t>N1082 (OB - Stn 1)</t>
  </si>
  <si>
    <t>N1082 (OB - Stn 2)</t>
  </si>
  <si>
    <t>FF120</t>
  </si>
  <si>
    <t>N1082 (IB - Stn 1)</t>
  </si>
  <si>
    <t>N1082 (IB - Stn 2)</t>
  </si>
  <si>
    <t>N1082 (IB - Stn 3)</t>
  </si>
  <si>
    <t>N1082 (IB - Stn 4)</t>
  </si>
  <si>
    <t>N1082 (OB - Stn 5)</t>
  </si>
  <si>
    <t>N1082 (OB - Stn 6)</t>
  </si>
  <si>
    <t>N1082 (OB - Stn 7)</t>
  </si>
  <si>
    <t>N1082 (OB - Stn 8)</t>
  </si>
  <si>
    <t>N1082 (OB - Stn 9)</t>
  </si>
  <si>
    <t>KH0541</t>
  </si>
  <si>
    <t>KH0551</t>
  </si>
  <si>
    <t>KH0538</t>
  </si>
  <si>
    <t>KH0548</t>
  </si>
  <si>
    <t>Receive on 20/07/20</t>
  </si>
  <si>
    <t>Receive on 21/07/20</t>
  </si>
  <si>
    <t>KH0534</t>
  </si>
  <si>
    <t>KH0544</t>
  </si>
  <si>
    <t>KH0552</t>
  </si>
  <si>
    <t>KH0556</t>
  </si>
  <si>
    <t>KH0561</t>
  </si>
  <si>
    <t>KH0524</t>
  </si>
  <si>
    <t>Receive on 24/07/20</t>
  </si>
  <si>
    <t>N1082 (OB - Stn 10)</t>
  </si>
  <si>
    <t>N1082 (IB - Stn 5)</t>
  </si>
  <si>
    <t>N1082 (IB - Stn 6)</t>
  </si>
  <si>
    <t>N1082 (IB - Stn 7)</t>
  </si>
  <si>
    <t>N1082 (OB - Stn 11)</t>
  </si>
  <si>
    <t>N1082 (OT - Stn 11)</t>
  </si>
  <si>
    <t>RUT001</t>
  </si>
  <si>
    <t>N1082 (OT - Stn 8)</t>
  </si>
  <si>
    <t>N1062 (PIE Stn 15)</t>
  </si>
  <si>
    <t>Marina Bay Sand</t>
  </si>
  <si>
    <t>N1082 (IB - Stn 8)</t>
  </si>
  <si>
    <t>KH0559</t>
  </si>
  <si>
    <t>KH0578</t>
  </si>
  <si>
    <t>KH0558</t>
  </si>
  <si>
    <t>KH0557</t>
  </si>
  <si>
    <t>Receive on 11/09/20</t>
  </si>
  <si>
    <t>KH0570</t>
  </si>
  <si>
    <t>KH0579</t>
  </si>
  <si>
    <t>KH0580</t>
  </si>
  <si>
    <t>KH0585</t>
  </si>
  <si>
    <t>Receive on 15/09/20</t>
  </si>
  <si>
    <t>KH0568</t>
  </si>
  <si>
    <t>KH0577</t>
  </si>
  <si>
    <t>KH0554</t>
  </si>
  <si>
    <t>KH0573</t>
  </si>
  <si>
    <t>Receive on 17/09/20</t>
  </si>
  <si>
    <t>KH0583</t>
  </si>
  <si>
    <t>Receive on 18/09/20</t>
  </si>
  <si>
    <t>N1012 Bugis EWL (EB)</t>
  </si>
  <si>
    <t>FF121</t>
  </si>
  <si>
    <t>FF122</t>
  </si>
  <si>
    <t>FF123</t>
  </si>
  <si>
    <t>FF124</t>
  </si>
  <si>
    <t>FF125</t>
  </si>
  <si>
    <t>FF126</t>
  </si>
  <si>
    <t>FF127</t>
  </si>
  <si>
    <t>FF128</t>
  </si>
  <si>
    <t>FF129</t>
  </si>
  <si>
    <t>C821A KCD (Bartley Viaduct Stn 4)</t>
  </si>
  <si>
    <t>N1062 CCL (Caldecott MRT Stn - OB)</t>
  </si>
  <si>
    <t>Funan Mall</t>
  </si>
  <si>
    <t>N1012 Bugis EWL (WB)</t>
  </si>
  <si>
    <t>Year Purchase</t>
  </si>
  <si>
    <t>WRITE OFF ON 11/11/20</t>
  </si>
  <si>
    <t>Funan Mall (NBR Stn 1)</t>
  </si>
  <si>
    <t>Motor noisy; Refer to KODI Credit Note: C1712345 DD 14/12/17</t>
  </si>
  <si>
    <t>Instrument problem, need testing; RRefer to KODI Credit Note: C1712345 DD 14/12/17</t>
  </si>
  <si>
    <t>Fort Canning MRT Stn (Stn 2)</t>
  </si>
  <si>
    <t>Fort Canning MRT Stn (Stn 3)</t>
  </si>
  <si>
    <t>P2000178</t>
  </si>
  <si>
    <t>S/I-010424</t>
  </si>
  <si>
    <t>MBS</t>
  </si>
  <si>
    <t>The Legend
(Liang Court)</t>
  </si>
  <si>
    <t>PIE Viaduct
(Thomson Flyover) - Stn 27</t>
  </si>
  <si>
    <t>S/I-010541</t>
  </si>
  <si>
    <t>P210002</t>
  </si>
  <si>
    <t>IWMF TPG Stn 2</t>
  </si>
  <si>
    <t>IWMF TPG Stn 1</t>
  </si>
  <si>
    <t>KH0605</t>
  </si>
  <si>
    <t>KH0606</t>
  </si>
  <si>
    <t>KH0608</t>
  </si>
  <si>
    <t>KH0609</t>
  </si>
  <si>
    <t>KH0610</t>
  </si>
  <si>
    <t>Receive on 16/02/21</t>
  </si>
  <si>
    <t>SOKKIA NET1AXT11T/TE2 3D Ultra High-Precision 3D Station complete with:
2 x BDC70 battery
1 x CDC68A battery charger
1 x EDC113 Power cable</t>
  </si>
  <si>
    <t>Receive on 17/02/21</t>
  </si>
  <si>
    <t>KH0584</t>
  </si>
  <si>
    <t>KH0586</t>
  </si>
  <si>
    <t>KH0603</t>
  </si>
  <si>
    <t>KH0604</t>
  </si>
  <si>
    <t>KH0607</t>
  </si>
  <si>
    <t>SOKKIA NET-1M Mono Mobile 3-D Station Complete with:
2 x rechargeable battery
1 x charger
1 x cable</t>
  </si>
  <si>
    <t>Receive on 11/03/21</t>
  </si>
  <si>
    <t>P210053</t>
  </si>
  <si>
    <t>KH0611</t>
  </si>
  <si>
    <t>KH0617</t>
  </si>
  <si>
    <t>KH0624</t>
  </si>
  <si>
    <t>KH0625</t>
  </si>
  <si>
    <t>KH0626</t>
  </si>
  <si>
    <t>KH0627</t>
  </si>
  <si>
    <t>KH0629</t>
  </si>
  <si>
    <t>KH0632</t>
  </si>
  <si>
    <t>KH0633</t>
  </si>
  <si>
    <t>KH0634</t>
  </si>
  <si>
    <t>TSP20/80790</t>
  </si>
  <si>
    <t>NET1AXIIT/TE Measuring Station</t>
  </si>
  <si>
    <t>Receive on 12/03/21</t>
  </si>
  <si>
    <t>N1072 CCL</t>
  </si>
  <si>
    <t>KH0643</t>
  </si>
  <si>
    <t>Receive on 26/03/21</t>
  </si>
  <si>
    <t>KH0638</t>
  </si>
  <si>
    <t>KH0647</t>
  </si>
  <si>
    <t>KH0628</t>
  </si>
  <si>
    <t>TPS20/80838</t>
  </si>
  <si>
    <t>P210062</t>
  </si>
  <si>
    <t>Fort Canning MRT Stn (Stn 1)</t>
  </si>
  <si>
    <t>N1012 Bugis DTL (BB Bound)</t>
  </si>
  <si>
    <t>KH0637</t>
  </si>
  <si>
    <t>Receive on 23/04/21</t>
  </si>
  <si>
    <t>KH0640</t>
  </si>
  <si>
    <t>KH0641</t>
  </si>
  <si>
    <t>KH0642</t>
  </si>
  <si>
    <t>PIE Viaduct (Thomson Flyover) - Stn 7</t>
  </si>
  <si>
    <t>N1112 (Ang Mo Kio Ave 6 - Stn 1)</t>
  </si>
  <si>
    <t>Caldecott MRT Stn (OB - Stn 5)</t>
  </si>
  <si>
    <t>Caldecott MRT Stn (OB - Stn 4)</t>
  </si>
  <si>
    <t>Caldecott MRT Stn (OB - Stn 3)</t>
  </si>
  <si>
    <t>Caldecott MRT Stn (OB - Stn 2)</t>
  </si>
  <si>
    <t>Caldecott MRT Stn (OB - Stn 1)</t>
  </si>
  <si>
    <t>Caldecott MRT Stn (IB - Stn 8)</t>
  </si>
  <si>
    <t>Caldecott MRT Stn (IB - Stn 6)</t>
  </si>
  <si>
    <t>Caldecott MRT Stn (IB - Stn 5)</t>
  </si>
  <si>
    <t>Caldecott MRT Stn (IB - Stn 7)</t>
  </si>
  <si>
    <t>Caldecott MRT Stn (IB - Stn 4)</t>
  </si>
  <si>
    <t>Caldecott MRT Stn (IB - Stn 3)</t>
  </si>
  <si>
    <t>Caldecott MRT Stn (IB - Stn 1)</t>
  </si>
  <si>
    <t>Caldecott MRT (OB - Stn 2)</t>
  </si>
  <si>
    <t>Caldecott MRT (OB - Stn 1)</t>
  </si>
  <si>
    <t>Caldecott MRT (IB - Stn 2)</t>
  </si>
  <si>
    <t>Caldecott MRT (IB - Stn 1)</t>
  </si>
  <si>
    <t>P210072</t>
  </si>
  <si>
    <t>S/I-011770</t>
  </si>
  <si>
    <t>SWARM V2.2c-C Vibration Monitor</t>
  </si>
  <si>
    <t>ID Number</t>
  </si>
  <si>
    <t>OMNIDOTS SWARM V2.2c-C (Vibration Monitor)</t>
  </si>
  <si>
    <t>QUYISA</t>
  </si>
  <si>
    <t>YUMECU</t>
  </si>
  <si>
    <t>ZUPUTI</t>
  </si>
  <si>
    <t>XUDAYU</t>
  </si>
  <si>
    <t>PENUHO</t>
  </si>
  <si>
    <t>VUQOVI</t>
  </si>
  <si>
    <t>WUDEJO</t>
  </si>
  <si>
    <t>QUDAYO</t>
  </si>
  <si>
    <t>ZEXEYO</t>
  </si>
  <si>
    <t>YSF Corporation (HK)</t>
  </si>
  <si>
    <t>P210078</t>
  </si>
  <si>
    <t>21/I00232</t>
  </si>
  <si>
    <t>P210059</t>
  </si>
  <si>
    <t>S/I-011315</t>
  </si>
  <si>
    <t>SOKKIA exchange new instrument (S/N: KH0592)</t>
  </si>
  <si>
    <t>S/I-012420</t>
  </si>
  <si>
    <t>SWARM V2.2c-G Vibration Monitor</t>
  </si>
  <si>
    <t>PIBIHA</t>
  </si>
  <si>
    <t>BUJOTU</t>
  </si>
  <si>
    <t>SEVILU</t>
  </si>
  <si>
    <t>CUTOJE</t>
  </si>
  <si>
    <t>WIHACU</t>
  </si>
  <si>
    <t>WIXUTU</t>
  </si>
  <si>
    <t>XUDEKO</t>
  </si>
  <si>
    <t>KH0592</t>
  </si>
  <si>
    <t>SOKKIA exchange new instrument (Spoilt - KH0452)</t>
  </si>
  <si>
    <t>ALT0016</t>
  </si>
  <si>
    <t>N1102 STN 2</t>
  </si>
  <si>
    <t>ALT0015</t>
  </si>
  <si>
    <t>FF NO</t>
  </si>
  <si>
    <t>TGB (Tuas View - Stn 2)</t>
  </si>
  <si>
    <t>Cluny Park (CPRI) - Stn 2</t>
  </si>
  <si>
    <t>FF062</t>
  </si>
  <si>
    <t>Cluny Park (CPRI) - Stn 1</t>
  </si>
  <si>
    <t>TGB (Tuas View - Stn 5)</t>
  </si>
  <si>
    <t>Sold TPMA (DUBAI)</t>
  </si>
  <si>
    <t>Royalville (Stn 1 - BB)</t>
  </si>
  <si>
    <t>Central Boulevard (Stn 1 - BB)</t>
  </si>
  <si>
    <t>Router for R &amp; D</t>
  </si>
  <si>
    <t>P2000072</t>
  </si>
  <si>
    <t>Inv: JLT048/0413/2020</t>
  </si>
  <si>
    <t>ALOTCER Industrial Router AR7088H-A</t>
  </si>
  <si>
    <t>R &amp; D</t>
  </si>
  <si>
    <t>P2000057</t>
  </si>
  <si>
    <t>Inv: 83623667</t>
  </si>
  <si>
    <t>RS-232 to RS-422/485 converter w/iso</t>
  </si>
  <si>
    <t>MSP Storage (Stock)</t>
  </si>
  <si>
    <t>Industrial PC on Site</t>
  </si>
  <si>
    <t>P1900095</t>
  </si>
  <si>
    <t>Inv: JLT022/0514/2019</t>
  </si>
  <si>
    <t>Industrial pc, 2GB Memory 32GB Hard Disk (Windows 7 professional, Power 12V, RS232x2, USBx4, 1 vga and 1 hdmi, 2 Lan port, Wifi need)</t>
  </si>
  <si>
    <t>P1900122</t>
  </si>
  <si>
    <t>Inv: JLT022/0612/2019</t>
  </si>
  <si>
    <t>N1062 (TEL)</t>
  </si>
  <si>
    <t>P2000011</t>
  </si>
  <si>
    <t>Inv: JLT045/0109/2020</t>
  </si>
  <si>
    <t>P2000055</t>
  </si>
  <si>
    <t>Inv: JLT047/0313/2020</t>
  </si>
  <si>
    <t>N1072 (Braddell Height)</t>
  </si>
  <si>
    <t>N1112 Bullion Park</t>
  </si>
  <si>
    <t>N1062 (PIE Viaduct)</t>
  </si>
  <si>
    <t>T315 Tanah Merah</t>
  </si>
  <si>
    <t>IWMF (Tuas Power Plant)</t>
  </si>
  <si>
    <t>IWMF (TPG)</t>
  </si>
  <si>
    <t>N1012 Ophir Rd Flyover</t>
  </si>
  <si>
    <t>T-09 AYE</t>
  </si>
  <si>
    <t>SU50W-705430 (Real 50W monocrystal solar panel)</t>
  </si>
  <si>
    <t>P210135</t>
  </si>
  <si>
    <t>Inv: INV38995</t>
  </si>
  <si>
    <t>MNG2-4-EGW-CCE</t>
  </si>
  <si>
    <t>ALTA 433 MHz Ethernet Gateway v4</t>
  </si>
  <si>
    <t>Biopolis</t>
  </si>
  <si>
    <t>MNS2-4-IN-AC-TL</t>
  </si>
  <si>
    <t>ALTA 433 MHz INDUSTRIAL - ACCELEROMETER, TILT SENSOR</t>
  </si>
  <si>
    <t>MNA-FEE-BTF</t>
  </si>
  <si>
    <t>WIRE TRANSFER FEE</t>
  </si>
  <si>
    <t>P210070</t>
  </si>
  <si>
    <t>DIXABU</t>
  </si>
  <si>
    <t>NAYAXE</t>
  </si>
  <si>
    <t>Biopolis (Stn 1)</t>
  </si>
  <si>
    <t>ALT0021</t>
  </si>
  <si>
    <t>P210121</t>
  </si>
  <si>
    <t>Sokkia NET1AX11/TE</t>
  </si>
  <si>
    <t>KH0646</t>
  </si>
  <si>
    <t>SOKKIA NETAX11T/TE 3D Ultra High-Precision 3D Station complete with:
2 x BDC72 battery
1 x CDC77 battery charger
1 x EDC113 Power Cable</t>
  </si>
  <si>
    <t>Receive 08/09/21</t>
  </si>
  <si>
    <t>Sokkia NET1AX11T/TE</t>
  </si>
  <si>
    <t>KH0651</t>
  </si>
  <si>
    <t>UR005842</t>
  </si>
  <si>
    <t>Sokkia IX-1001 / SPBWT robotic total station complete with:
2 x BDC72 battery
1 x CDC77 quick charger
1 x Power cable</t>
  </si>
  <si>
    <t>UR005865</t>
  </si>
  <si>
    <t>Biopolis (Stn 2)</t>
  </si>
  <si>
    <t>ALT0027</t>
  </si>
  <si>
    <t>KH0623</t>
  </si>
  <si>
    <t>KH0653</t>
  </si>
  <si>
    <t>UR005863</t>
  </si>
  <si>
    <t>UR005849</t>
  </si>
  <si>
    <t>Receive 20/09/21</t>
  </si>
  <si>
    <t>UR005801</t>
  </si>
  <si>
    <t>UR005911</t>
  </si>
  <si>
    <t>UR005827</t>
  </si>
  <si>
    <t>UR005894</t>
  </si>
  <si>
    <t>Receive 30/09/21</t>
  </si>
  <si>
    <t>ALT0019</t>
  </si>
  <si>
    <t>Bugis (WB) EWL</t>
  </si>
  <si>
    <t>KH0650</t>
  </si>
  <si>
    <t>Receive 06/10/21</t>
  </si>
  <si>
    <t>KH0654</t>
  </si>
  <si>
    <t>KH0649</t>
  </si>
  <si>
    <t>KH0645</t>
  </si>
  <si>
    <t>KH0644</t>
  </si>
  <si>
    <t>KH0639</t>
  </si>
  <si>
    <t>ALT0033</t>
  </si>
  <si>
    <t>ALT0031</t>
  </si>
  <si>
    <t>Lentor Stn 3</t>
  </si>
  <si>
    <t>ALT0032</t>
  </si>
  <si>
    <t>S/D - 018045</t>
  </si>
  <si>
    <t>Bullion Park Ext Stn 1</t>
  </si>
  <si>
    <t>ALT0043</t>
  </si>
  <si>
    <t>ALT0035</t>
  </si>
  <si>
    <t>Bullion Park Ext Stn 5</t>
  </si>
  <si>
    <t>Bullion Park Ext Stn 6</t>
  </si>
  <si>
    <t>ALT0029</t>
  </si>
  <si>
    <t>ALT0025</t>
  </si>
  <si>
    <t>ALT0023</t>
  </si>
  <si>
    <t>Bartley Stn 2</t>
  </si>
  <si>
    <t>Receive on 08/08/21</t>
  </si>
  <si>
    <t>N1062</t>
  </si>
  <si>
    <t>Bartley Stn 6</t>
  </si>
  <si>
    <t>ALT0040</t>
  </si>
  <si>
    <t>ALT0041</t>
  </si>
  <si>
    <t>ALT0042</t>
  </si>
  <si>
    <t>ALT0055</t>
  </si>
  <si>
    <t>ALT0026</t>
  </si>
  <si>
    <t>P210180</t>
  </si>
  <si>
    <t>S/I-013720</t>
  </si>
  <si>
    <t>XOYAHU</t>
  </si>
  <si>
    <t>ZUVABI</t>
  </si>
  <si>
    <t>MITIFA</t>
  </si>
  <si>
    <t>ZACEVU</t>
  </si>
  <si>
    <t>PUPEYI</t>
  </si>
  <si>
    <t>JOFIYO</t>
  </si>
  <si>
    <t>SIDORU</t>
  </si>
  <si>
    <t>HOGORU</t>
  </si>
  <si>
    <t>GUCICE</t>
  </si>
  <si>
    <t>S/I-013856</t>
  </si>
  <si>
    <t>P210192</t>
  </si>
  <si>
    <t>UR005833</t>
  </si>
  <si>
    <t>UR005834</t>
  </si>
  <si>
    <t>UR005856</t>
  </si>
  <si>
    <t>UR005789</t>
  </si>
  <si>
    <t>ALT0034</t>
  </si>
  <si>
    <t>P210169</t>
  </si>
  <si>
    <t>YENUHA</t>
  </si>
  <si>
    <t>Tuas Finger Pier</t>
  </si>
  <si>
    <t>S/D-018478</t>
  </si>
  <si>
    <t>P210225</t>
  </si>
  <si>
    <t>UR006028</t>
  </si>
  <si>
    <t>UR005841</t>
  </si>
  <si>
    <t>UR006021</t>
  </si>
  <si>
    <t>UR007034</t>
  </si>
  <si>
    <t>ALT0038</t>
  </si>
  <si>
    <t>N1012 Bugis DTL</t>
  </si>
  <si>
    <t>ALT0053</t>
  </si>
  <si>
    <t>Bartley Stn 5</t>
  </si>
  <si>
    <t>Mandai Depot RT2</t>
  </si>
  <si>
    <t>ALT0036</t>
  </si>
  <si>
    <t>S/D-018436</t>
  </si>
  <si>
    <t>Receive 28/10/21</t>
  </si>
  <si>
    <t>Receive 01/11/21</t>
  </si>
  <si>
    <t>S/D-019061</t>
  </si>
  <si>
    <t>P210248</t>
  </si>
  <si>
    <t>UR005794</t>
  </si>
  <si>
    <t>UR005895</t>
  </si>
  <si>
    <t>UR006022</t>
  </si>
  <si>
    <t>UR005828</t>
  </si>
  <si>
    <t>Receive 08/12/21</t>
  </si>
  <si>
    <t>S/D-019443</t>
  </si>
  <si>
    <t>P210186</t>
  </si>
  <si>
    <t>KH0701</t>
  </si>
  <si>
    <t>KH0700</t>
  </si>
  <si>
    <t>KH0670</t>
  </si>
  <si>
    <t>KH0671</t>
  </si>
  <si>
    <t>KH0656</t>
  </si>
  <si>
    <t>KH0655</t>
  </si>
  <si>
    <t>MAJOFI</t>
  </si>
  <si>
    <t>Woodlands Healing Gardens (Mandai Depot RT2)</t>
  </si>
  <si>
    <t>Updated on 04/02/22</t>
  </si>
  <si>
    <t>ALT0048</t>
  </si>
  <si>
    <t>Updated on 19/02/22</t>
  </si>
  <si>
    <t>Updated on 23/02/22</t>
  </si>
  <si>
    <t>ALT0054</t>
  </si>
  <si>
    <t>N1112 Bullion Park (Stn 1)</t>
  </si>
  <si>
    <t>N1012 Bugis EWL</t>
  </si>
  <si>
    <t>S/D-020099</t>
  </si>
  <si>
    <t>P220041</t>
  </si>
  <si>
    <t>KH0702</t>
  </si>
  <si>
    <t>Receive 04/03/22</t>
  </si>
  <si>
    <t>ALT0030</t>
  </si>
  <si>
    <t>N112</t>
  </si>
  <si>
    <t>N112 (SPPG Mandai) Stn 5</t>
  </si>
  <si>
    <t>Updated on 16/03/2022</t>
  </si>
  <si>
    <t>N112 (SPPG Mandai) Stn 6</t>
  </si>
  <si>
    <t>N112 (SPPG Mandai) Stn 7</t>
  </si>
  <si>
    <t>N1082 (OB - Stn 4)</t>
  </si>
  <si>
    <t>Updated on 25/03/22</t>
  </si>
  <si>
    <t>ALT0049</t>
  </si>
  <si>
    <t>Holland MRT Stn (IT)</t>
  </si>
  <si>
    <t>Updated on 29/03/22</t>
  </si>
  <si>
    <t>N112 (SPPG Mandai)</t>
  </si>
  <si>
    <t>N112 (SPPG Mandai) Stn 9</t>
  </si>
  <si>
    <t>N112 (SPPG Mandai) Stn 8</t>
  </si>
  <si>
    <t>ALT0051</t>
  </si>
  <si>
    <t>SPPG AMK</t>
  </si>
  <si>
    <t>Updated on 21/04/22</t>
  </si>
  <si>
    <t>C821A KCD (Bartley Viaduct Stn 1)</t>
  </si>
  <si>
    <t>Updated on 20/05/22</t>
  </si>
  <si>
    <t xml:space="preserve">Fort Canning MRT Stn (Stn 1) The Legend
(Liang Court) </t>
  </si>
  <si>
    <t>Updated on 25/05/22</t>
  </si>
  <si>
    <t>ALT0050</t>
  </si>
  <si>
    <t>Updated on 09/06/22</t>
  </si>
  <si>
    <t>Landmark (CTE Tunnel)</t>
  </si>
  <si>
    <t>Updated on 20/06/2022</t>
  </si>
  <si>
    <t>Caldecott MRT Stn (OB - Stn 7)</t>
  </si>
  <si>
    <t>Caldecott MRT Stn (OB - Stn 8)</t>
  </si>
  <si>
    <t>Caldecott MRT Stn (OB - Stn 9)</t>
  </si>
  <si>
    <t>N1112 (Ang Mo Kio Ave 6 - Stn 2)</t>
  </si>
  <si>
    <t>Caldecott MRT Stn (Cross Passage - Stn 1)</t>
  </si>
  <si>
    <t>Caldecott MRT Stn (IB - Stn 9)</t>
  </si>
  <si>
    <t>Changi Trial Site (Site Office)</t>
  </si>
  <si>
    <t>P220010</t>
  </si>
  <si>
    <t>KH0703</t>
  </si>
  <si>
    <t>Receive 05/08/22</t>
  </si>
  <si>
    <t>KH0704</t>
  </si>
  <si>
    <t>KH0705</t>
  </si>
  <si>
    <t>Tampines N9 C10-12</t>
  </si>
  <si>
    <t>Sold to APS Resources (MSP Tax Inv: I210118 DD 31/05/21)</t>
  </si>
  <si>
    <t xml:space="preserve">(Not IN MSP Office) Inactive </t>
  </si>
  <si>
    <t>Sold to APS Resources (To replace XUDAYU) (MSP Tax Inv: I210118 DD 31/05/21)</t>
  </si>
  <si>
    <t>Sold to APS Resources (To replace WUNELA) (MSP Tax Inv: I210118 DD 31/05/21)</t>
  </si>
  <si>
    <t>Sold to APS Resources (MSP Tax Inv: I210193 DD 17/08/21)</t>
  </si>
  <si>
    <t>Sold to APS Resources (MSP Tax Inv: I210246 DD 15/10/21)</t>
  </si>
  <si>
    <t>Previous Subscription Period Before Renewal</t>
  </si>
  <si>
    <t>17/01/2021 - 17/01/2022</t>
  </si>
  <si>
    <t>16/04/21 - 16/04/22</t>
  </si>
  <si>
    <t>01/07/21 - 01/07/22</t>
  </si>
  <si>
    <t>05/11/21 - 05/11/22</t>
  </si>
  <si>
    <t>Subscription 
Renewal</t>
  </si>
  <si>
    <t>16/04/22 - 16/04/23</t>
  </si>
  <si>
    <t>01/07/22 - 01/07/23</t>
  </si>
  <si>
    <t>17/01/2022 - 17/01/2023</t>
  </si>
  <si>
    <t>PO: P210020</t>
  </si>
  <si>
    <t>NP12220M (VRLA AGM Battery) 12V 22Ah</t>
  </si>
  <si>
    <t>T09</t>
  </si>
  <si>
    <t>PO: P210058</t>
  </si>
  <si>
    <t>NP12220M</t>
  </si>
  <si>
    <t>PO: P210159</t>
  </si>
  <si>
    <t>PO: P210196</t>
  </si>
  <si>
    <t>P0: P210201</t>
  </si>
  <si>
    <t>Murnane Pipeline</t>
  </si>
  <si>
    <t>PO: P220104</t>
  </si>
  <si>
    <t>Advantech Co Singapore</t>
  </si>
  <si>
    <t>Monnit</t>
  </si>
  <si>
    <t>Wuxi jialin</t>
  </si>
  <si>
    <t>Updated on 19/08/22</t>
  </si>
  <si>
    <t>N1112 Bullion Park Ext (Stn 3)</t>
  </si>
  <si>
    <t>S/I-22-08-0123</t>
  </si>
  <si>
    <t>Updated on 29/08/22</t>
  </si>
  <si>
    <t>TSFB Stn 11</t>
  </si>
  <si>
    <t>Updated as at 29/08/22</t>
  </si>
  <si>
    <t>Updated on 29/08/2022</t>
  </si>
  <si>
    <t>TR275 CTE SB</t>
  </si>
  <si>
    <t>Updated 29/08/22</t>
  </si>
  <si>
    <t>N1072 (TEL - Stn 1) Changi Bound</t>
  </si>
  <si>
    <t>N1072 (TEL - Stn 2) Changi Bound</t>
  </si>
  <si>
    <t>N1072 (TEL - Stn 5) Changi Bound</t>
  </si>
  <si>
    <t>`</t>
  </si>
  <si>
    <t>ALT0006</t>
  </si>
  <si>
    <t>ALT0001</t>
  </si>
  <si>
    <t>ALT0007</t>
  </si>
  <si>
    <t>ALT0008</t>
  </si>
  <si>
    <t>ALT0009</t>
  </si>
  <si>
    <t>ALT0012</t>
  </si>
  <si>
    <t>Updated on 02/09/2022</t>
  </si>
  <si>
    <t>Tampines N9 C10-12 (Expo Bound)</t>
  </si>
  <si>
    <t>Updated on 7/09/2022</t>
  </si>
  <si>
    <t>ALT0005</t>
  </si>
  <si>
    <t>SAKEYU</t>
  </si>
  <si>
    <t xml:space="preserve">Braddell Height </t>
  </si>
  <si>
    <t>N1072 Braddell Height</t>
  </si>
  <si>
    <t>P2000166</t>
  </si>
  <si>
    <t>Inv: JLT053/1120/2020</t>
  </si>
  <si>
    <t>MSP Storage</t>
  </si>
  <si>
    <t>P210207</t>
  </si>
  <si>
    <t>Inv: INV48161</t>
  </si>
  <si>
    <t>ALTA 433 MHz Industrial - Accelerometer, Vibration Meter</t>
  </si>
  <si>
    <t xml:space="preserve">MNS2-4-IN-AC-VM </t>
  </si>
  <si>
    <t xml:space="preserve">MNA-FEE-BTF </t>
  </si>
  <si>
    <t>Wire Transfer Fee</t>
  </si>
  <si>
    <t>Shipping Fee</t>
  </si>
  <si>
    <t>The Legend (Liang Court)</t>
  </si>
  <si>
    <t>P210033</t>
  </si>
  <si>
    <t>Inv: 85042214</t>
  </si>
  <si>
    <t>ADAM-4520-EE</t>
  </si>
  <si>
    <t>RS-232 to RS-422/485 converter w/ iso. Rev. EE</t>
  </si>
  <si>
    <t>T08 and MSP Storage</t>
  </si>
  <si>
    <t>P210204</t>
  </si>
  <si>
    <t>Inv: 85334857</t>
  </si>
  <si>
    <t>ADAM-4520-F</t>
  </si>
  <si>
    <t>N1062 SPPG Tunnel</t>
  </si>
  <si>
    <t>P210241</t>
  </si>
  <si>
    <t xml:space="preserve">Inv: </t>
  </si>
  <si>
    <t>Industrial PC, 2GB Memory 32GB Hard Disk (Windows 7 professional, Power 12V, RS232x2, USBx4, 1 vga and 1 hdmi, 2 Lan port, Wifi need)</t>
  </si>
  <si>
    <t>P210035</t>
  </si>
  <si>
    <t>Inv: JLT058/0218/2021</t>
  </si>
  <si>
    <t>Inv: JLQ058/0218/2021</t>
  </si>
  <si>
    <t>wuxi</t>
  </si>
  <si>
    <t>P210066</t>
  </si>
  <si>
    <t>Inv: JLQ061/0326/2021</t>
  </si>
  <si>
    <t>P210167</t>
  </si>
  <si>
    <t>Inv: JLQ070/0922/2021</t>
  </si>
  <si>
    <t>P210215</t>
  </si>
  <si>
    <t>Inv: JLQ073/1115/2021</t>
  </si>
  <si>
    <t>Industrial pc, 2GB Memory 32GB Hard Disk (Windows 7 professional, Power 12V, RS232x1, USBx6, 1 vga and 1 hdmi,  2 Lan port, Wifi need)</t>
  </si>
  <si>
    <t>Inv: T2207005M</t>
  </si>
  <si>
    <t>Industrial PC. 4GB Memory, 2TB SSD Hard Disk (Windows 7 professional, Power 12V, RS232x1, USBx6, 1 vga and 1 hdmi, 2 Lan port, wifi need)</t>
  </si>
  <si>
    <t>CRL102 Chnagi Trial Site</t>
  </si>
  <si>
    <t>P220109</t>
  </si>
  <si>
    <t>P220152</t>
  </si>
  <si>
    <t>P2200026</t>
  </si>
  <si>
    <t>Inv: INV5000</t>
  </si>
  <si>
    <t>MNS2-4-IN-AC-VM</t>
  </si>
  <si>
    <t>Kodi Tax Credit Note CN-000200 dd 19/07/2022 (Goods Returned To Kodi) Kodi sold to Eco2 Builder Pte Ltd</t>
  </si>
  <si>
    <t>Tampines West MRT Stn BB (Stn 1)</t>
  </si>
  <si>
    <t>Tampines West MRT Stn BB (Stn 2)</t>
  </si>
  <si>
    <t>Tampines West MRT Stn BB (Stn 3)</t>
  </si>
  <si>
    <t>Tampines N9 C10-12 (Bukit Panjang Bound)</t>
  </si>
  <si>
    <t>Updated on 23/09/2022</t>
  </si>
  <si>
    <t>Tampines West MRT Stn XB (Stn 3)</t>
  </si>
  <si>
    <t>Tampines West MRT Stn XB (Stn 1)</t>
  </si>
  <si>
    <t>Tampines West MRT Stn XB (Stn 2)</t>
  </si>
  <si>
    <t>Project ID</t>
  </si>
  <si>
    <t>Updated on 06/10/22</t>
  </si>
  <si>
    <t>ALT0004</t>
  </si>
  <si>
    <t>Updated on 06/10/2022</t>
  </si>
  <si>
    <t>ALT0057</t>
  </si>
  <si>
    <t>PIE Stn 7</t>
  </si>
  <si>
    <t>Updated as from (Date)</t>
  </si>
  <si>
    <t>S/I-22-10-0296</t>
  </si>
  <si>
    <t>P220173</t>
  </si>
  <si>
    <t>KH0699</t>
  </si>
  <si>
    <t>Receive 19/10/2022</t>
  </si>
  <si>
    <t>S/I-22-10-0320</t>
  </si>
  <si>
    <t>P220177</t>
  </si>
  <si>
    <t>KX0016</t>
  </si>
  <si>
    <t>Receive 25/10/2022</t>
  </si>
  <si>
    <t>Updated as at 01/11/22</t>
  </si>
  <si>
    <t>PIE Viaduct (Thomson Viaduct) - AMMS 11</t>
  </si>
  <si>
    <t>Updated on 03/11/22</t>
  </si>
  <si>
    <t>Updated on 3/11/2022</t>
  </si>
  <si>
    <t>Updated on 09/11/22</t>
  </si>
  <si>
    <t>ALT0047</t>
  </si>
  <si>
    <t>Caldecott MRT Stn (Cross Passage - Stn 2)</t>
  </si>
  <si>
    <t>N1072 - OB Stn 3</t>
  </si>
  <si>
    <t>Updated on 07/12/22</t>
  </si>
  <si>
    <t>ALT0046</t>
  </si>
  <si>
    <t>Updated on 06/01/23</t>
  </si>
  <si>
    <t>Updated on 12/01/23</t>
  </si>
  <si>
    <t>ALT0039</t>
  </si>
  <si>
    <t>Updated on 19/01/23</t>
  </si>
  <si>
    <t>Updated 20/01/23</t>
  </si>
  <si>
    <t>Updated on 20/01/23</t>
  </si>
  <si>
    <t>Updated on 31/01/2023</t>
  </si>
  <si>
    <t>Bartley Stn 8</t>
  </si>
  <si>
    <t>Updated on 31/01/23</t>
  </si>
  <si>
    <t>T313 (T313/C922)</t>
  </si>
  <si>
    <t>T313-C922 Expo Station Expo Bound</t>
  </si>
  <si>
    <t>Updated on 08/02/23</t>
  </si>
  <si>
    <t>S/D-003586</t>
  </si>
  <si>
    <t>P220149</t>
  </si>
  <si>
    <t>Sokkia IX-1201</t>
  </si>
  <si>
    <t>XS000776</t>
  </si>
  <si>
    <t>Sokkia IX-1201 / SPBWT Automatic Tracking Function robotic total station complete with:
2 x BDC72 battery
1 x CDC77 quick charger
1 x Power cable
1 x thum drive</t>
  </si>
  <si>
    <t>Receive 15/12/2022</t>
  </si>
  <si>
    <t>S/I-23-01-0200</t>
  </si>
  <si>
    <t>XS001063</t>
  </si>
  <si>
    <t>Receive 30/01/2023</t>
  </si>
  <si>
    <t>XS001043</t>
  </si>
  <si>
    <t>XS000744</t>
  </si>
  <si>
    <t>XS001076</t>
  </si>
  <si>
    <t>XS001064</t>
  </si>
  <si>
    <t>XS001060</t>
  </si>
  <si>
    <t>XS001054</t>
  </si>
  <si>
    <t>XS001083</t>
  </si>
  <si>
    <t>XS000871</t>
  </si>
  <si>
    <t>S/I-23-02-0126</t>
  </si>
  <si>
    <t>Receive 13/02/2023</t>
  </si>
  <si>
    <t>Updated on 23/02/2023</t>
  </si>
  <si>
    <t>Updated on 08/03/23</t>
  </si>
  <si>
    <t>SPPG Marymount N1062</t>
  </si>
  <si>
    <t>J112 Viaduct Stn 2</t>
  </si>
  <si>
    <t>Updated on 24/03/23</t>
  </si>
  <si>
    <t>J112 Jurong Pier Viaduct (Stn 2)</t>
  </si>
  <si>
    <t>J112</t>
  </si>
  <si>
    <t>J112 Jurong Pier Viaduct (Stn 1)</t>
  </si>
  <si>
    <t>Kallang Whampao HDB</t>
  </si>
  <si>
    <t>Kallang Whampoa HDB</t>
  </si>
  <si>
    <t>Updated 06/04/23</t>
  </si>
  <si>
    <t>PUB BKSR Package 2 (Brighthill MRT Stn 1) CB</t>
  </si>
  <si>
    <t>P230055</t>
  </si>
  <si>
    <t>Sokkia MS1AXII</t>
  </si>
  <si>
    <t>KM0438</t>
  </si>
  <si>
    <t>SOKKIA MS1AXII Ultra High-Precision 3D station complete with:
2 x BDC70/72 battery
1 x CDC68/77 battery charger
1 x EDC113 Power cable
1 x Standard package components</t>
  </si>
  <si>
    <t>Receive 20/04/2023</t>
  </si>
  <si>
    <t>KM0428</t>
  </si>
  <si>
    <t>KM0437</t>
  </si>
  <si>
    <t>KM0435</t>
  </si>
  <si>
    <t>KM0430</t>
  </si>
  <si>
    <t>Kallang Whampoa HDB (Stn 1) NB</t>
  </si>
  <si>
    <t>Kallang Whampoa HDB (Stn 2) NB</t>
  </si>
  <si>
    <t>Kallang Whampoa HDB (Stn 2) SB</t>
  </si>
  <si>
    <t>Kallang Whampoa HDB (Stn 1) SB</t>
  </si>
  <si>
    <t>Kallang Whampao HDB SB</t>
  </si>
  <si>
    <t>Updated on 27/04/23</t>
  </si>
  <si>
    <t>Receive 21/04/2023</t>
  </si>
  <si>
    <t>XS001305</t>
  </si>
  <si>
    <t>XS001439</t>
  </si>
  <si>
    <t>XS001492</t>
  </si>
  <si>
    <t>XS001513</t>
  </si>
  <si>
    <t>XS001519</t>
  </si>
  <si>
    <t>S/I-23-04-0324</t>
  </si>
  <si>
    <t>S/I-23-04-0323</t>
  </si>
  <si>
    <t>Updated on 12/05/23</t>
  </si>
  <si>
    <t>Updated on 12/05/22</t>
  </si>
  <si>
    <t>CR116 Stn 2</t>
  </si>
  <si>
    <t>HX0016</t>
  </si>
  <si>
    <t>T215 Stn 2 (Changi Bound)</t>
  </si>
  <si>
    <t>PIE AMMS (STN 11)</t>
  </si>
  <si>
    <t>PIE AMMS (STN 14)</t>
  </si>
  <si>
    <t>PIE AMMS (STN 16)</t>
  </si>
  <si>
    <t>PIE AMMS (STN 17)</t>
  </si>
  <si>
    <t>PIE AMMS (STN 27)</t>
  </si>
  <si>
    <t>Caldecott MRT Stn (IB - Stn 2)</t>
  </si>
  <si>
    <t>N1072 (TEL - Stn 4) Changi Bound</t>
  </si>
  <si>
    <t>N1072 (TEL - Stn 8) Changi Bound</t>
  </si>
  <si>
    <t>N1012 Bugis DTL (BB) Stn 1</t>
  </si>
  <si>
    <t>N1112 Bullion Park Ext (Stn 5)</t>
  </si>
  <si>
    <t>N1112 Bullion Park Ext (Stn 4)</t>
  </si>
  <si>
    <t>P220105</t>
  </si>
  <si>
    <t>Inv: T2207004M</t>
  </si>
  <si>
    <t>Milesight Industrial Router UR32-L04EU-W</t>
  </si>
  <si>
    <t>P220192</t>
  </si>
  <si>
    <t>Inv: T2212009M</t>
  </si>
  <si>
    <t>Industrial PC, 4GB Memory, 2TB SSD Hard Disk (Windows 7 professional, Power 12V, RS232x1, USBx6, 1 vga and 1 hdmi, 2 Lan port, Wifi need)</t>
  </si>
  <si>
    <t>Industrial PC, 2GB Memory 32GB Hard Disk (Windows 7 professional, Power 12V, RS232x1, USBx6, 1 vga and 1 hdmi, 2 Lan port, Wifi need)</t>
  </si>
  <si>
    <t>CR103</t>
  </si>
  <si>
    <t>P230028</t>
  </si>
  <si>
    <t>Inv: T2302005M</t>
  </si>
  <si>
    <t>P230067</t>
  </si>
  <si>
    <t>Inv: T2304008M</t>
  </si>
  <si>
    <t>P230039</t>
  </si>
  <si>
    <t>Inv: 85698882</t>
  </si>
  <si>
    <t>PO: P220155</t>
  </si>
  <si>
    <t>PO: P220185</t>
  </si>
  <si>
    <t>PO: P220196</t>
  </si>
  <si>
    <t>Narada Battery NP12200M</t>
  </si>
  <si>
    <t>PO: P230014</t>
  </si>
  <si>
    <t>PO: P230066</t>
  </si>
  <si>
    <t>AMMS</t>
  </si>
  <si>
    <t>PO: P230054</t>
  </si>
  <si>
    <t>Expo Stn 2 (Bukit Panjang Bound)</t>
  </si>
  <si>
    <t>Updated on 31/05/23</t>
  </si>
  <si>
    <t>Kallang Whampoa HDB (Stn 1) MT CB</t>
  </si>
  <si>
    <t>Total Station @ H3</t>
  </si>
  <si>
    <t>S/N</t>
  </si>
  <si>
    <t xml:space="preserve">Remark </t>
  </si>
  <si>
    <t>Sokkia MS1AXII: 5</t>
  </si>
  <si>
    <t>Sokkia IX-1001: 2</t>
  </si>
  <si>
    <t>1/7/23</t>
  </si>
  <si>
    <t>66</t>
  </si>
  <si>
    <t>FMBE</t>
  </si>
  <si>
    <t>Sokkia 1X-1201: 3</t>
  </si>
  <si>
    <t>Sokkia NET1AX11: 18</t>
  </si>
  <si>
    <t>Sokkia NET1AX: 39</t>
  </si>
  <si>
    <t>T313 (Bukit Panjang Bound)</t>
  </si>
  <si>
    <t>FMBE (Changi Bound) Stn 10</t>
  </si>
  <si>
    <t>FMBE (Changi Bound) Stn 11</t>
  </si>
  <si>
    <t>FMBE (Changi Bound) Stn 9</t>
  </si>
  <si>
    <t>FMBE (Changi Bound) Stn 6</t>
  </si>
  <si>
    <t>FMBE (Changi Bound) Stn 7</t>
  </si>
  <si>
    <t>FMBE (Changi Bound) Stn 8</t>
  </si>
  <si>
    <t>CR116 AMK Stn 3</t>
  </si>
  <si>
    <t>CR116 AMK</t>
  </si>
  <si>
    <t>N1072 (TEL - Stn 3) Changi Bound</t>
  </si>
  <si>
    <t>FMBE (Changi Bound) Stn 5</t>
  </si>
  <si>
    <t>FMBE (Changi Bound) Stn 1</t>
  </si>
  <si>
    <t>FMBE (Changi Bound) Stn 2</t>
  </si>
  <si>
    <t>FMBE (Changi Bound) Stn 3</t>
  </si>
  <si>
    <t>CR116 AMK Stn 2</t>
  </si>
  <si>
    <t>CR116i AMK Stn 1</t>
  </si>
  <si>
    <t>CR116i AMK Stn 2</t>
  </si>
  <si>
    <t>CR116i AMK Stn 3</t>
  </si>
  <si>
    <t>CR116 AMK Stn 5</t>
  </si>
  <si>
    <t>S/I-23-10-0153</t>
  </si>
  <si>
    <t>P230162</t>
  </si>
  <si>
    <t>Sokkia NET1AXIIT/TE</t>
  </si>
  <si>
    <t>HX0073</t>
  </si>
  <si>
    <t>Receive 13/10/2023</t>
  </si>
  <si>
    <t>HX0080</t>
  </si>
  <si>
    <t>HX0083</t>
  </si>
  <si>
    <t>HX0120</t>
  </si>
  <si>
    <t>HX0123</t>
  </si>
  <si>
    <t>S/I-23-10-0244</t>
  </si>
  <si>
    <t>Automated 3D Station
SOKKIA NET1AXIIT/TE 3D Ultra High-Precision 3D station complete with:
2 x BDC72 battery
1 x CDC77 quick charger
1 x EDC113 Power cable</t>
  </si>
  <si>
    <t>Robotic Total Station
SOKKIA IX-1201 / SPBWT (P/N 1042639-20) Auto Tracking Function robotic total station complete with:
2 x BDC72 battery
1 x CDC77 quick charger
1 x Power cable
1 x thumb drive</t>
  </si>
  <si>
    <t>Sokkia IX-1201 / SPBWT Automatic Tracking Function robotic total station complete with:
2 x BDC72 battery
1 x CDC77 quick charger
1 x Power cable
1 x thumb drive</t>
  </si>
  <si>
    <t>XS001168</t>
  </si>
  <si>
    <t>Receive 20/10/2023</t>
  </si>
  <si>
    <t>XS001444</t>
  </si>
  <si>
    <t>XS001510</t>
  </si>
  <si>
    <t>XS001528</t>
  </si>
  <si>
    <t>XS001545</t>
  </si>
  <si>
    <t>XS001552</t>
  </si>
  <si>
    <t>XS001557</t>
  </si>
  <si>
    <t>XS001565</t>
  </si>
  <si>
    <t>DE160 (Expo Bound - Stn 3)</t>
  </si>
  <si>
    <t>DE160 (Expo Bound - Stn 4)</t>
  </si>
  <si>
    <t>DE160 (Expo Bound - Stn 5)</t>
  </si>
  <si>
    <t>DE160</t>
  </si>
  <si>
    <t>N1072 (TEL - Stn 1) Woodlands Bound</t>
  </si>
  <si>
    <t>N1072 (TEL - Stn 2) Woodlands Bound</t>
  </si>
  <si>
    <t>N1072 (TEL - Stn 3) Woodlands Bound</t>
  </si>
  <si>
    <t>N1072 (TEL - Stn 4) Woodlands Bound</t>
  </si>
  <si>
    <t>N1072 (TEL - Stn 5) Woodlands Bound</t>
  </si>
  <si>
    <t>N1072 (TEL - Stn 6) Woodlands Bound</t>
  </si>
  <si>
    <t>N1072 (TEL - Stn 7) Woodlands Bound</t>
  </si>
  <si>
    <t>N1072 (TEL - Stn 8) Woodlands Bound</t>
  </si>
  <si>
    <t>N1072 (TEL - Stn 9) Woodlands Bound</t>
  </si>
  <si>
    <t>N1072 (TEL - Stn 10) Woodlands Bound</t>
  </si>
  <si>
    <t>DE160 (BB Bound - Stn 5)</t>
  </si>
  <si>
    <t>DE160 (BB Bound - Stn 4)</t>
  </si>
  <si>
    <t>DE160 (BB Bound - Stn 3)</t>
  </si>
  <si>
    <t>BKSR Package 2</t>
  </si>
  <si>
    <t>BKSR Package 2 (SPPG AMK - Stn 1)</t>
  </si>
  <si>
    <t>BKSR Package 2 (SPPG AMK - Stn 2)</t>
  </si>
  <si>
    <t>BKSR Package 2 (SPPG AMK - Stn 3)</t>
  </si>
  <si>
    <t>Kallang Whampoa HDB (Stn 2) MT CB</t>
  </si>
  <si>
    <t>DE160 (BB Bound - Stn 2)</t>
  </si>
  <si>
    <t>HX0071</t>
  </si>
  <si>
    <t>Receive 06/11/2023</t>
  </si>
  <si>
    <t>HX0115</t>
  </si>
  <si>
    <t>HX0085</t>
  </si>
  <si>
    <t>HX0088</t>
  </si>
  <si>
    <t>HX0091</t>
  </si>
  <si>
    <t>HX0082</t>
  </si>
  <si>
    <t>HX0075</t>
  </si>
  <si>
    <t>S/I-23-11-0029</t>
  </si>
  <si>
    <t>DE160 (BB Bound - Stn 1)</t>
  </si>
  <si>
    <t>CR103 Stn 3</t>
  </si>
  <si>
    <t>CR105</t>
  </si>
  <si>
    <t>FMBE (Changi Bound) Stn 4</t>
  </si>
  <si>
    <t>FMBE (Woodland Bound) Stn 1</t>
  </si>
  <si>
    <t>FMBE (Woodland Bound) Stn 2</t>
  </si>
  <si>
    <t>FMBE (Woodland Bound) Stn 3</t>
  </si>
  <si>
    <t>FMBE (Woodland Bound) Stn 5</t>
  </si>
  <si>
    <t>FMBE (Woodland Bound) Stn 6</t>
  </si>
  <si>
    <t>FMBE (Woodland Bound) Stn 7</t>
  </si>
  <si>
    <t>FMBE (Woodland Bound) Stn 8</t>
  </si>
  <si>
    <t>FMBE (Woodland Bound) Stn 9</t>
  </si>
  <si>
    <t>FMBE (Woodland Bound) Stn 10</t>
  </si>
  <si>
    <t>FMBE (Woodland Bound) Stn 11</t>
  </si>
  <si>
    <t>T215 Stn 3 (Woodlands Bound)</t>
  </si>
  <si>
    <t>T215 Stn 5 (Woodlands Bound)</t>
  </si>
  <si>
    <t>N1062 CCL</t>
  </si>
  <si>
    <t>BKSR Package 1</t>
  </si>
  <si>
    <t>SPPG Upper Thomson - Stn 1</t>
  </si>
  <si>
    <t>SPPG Upper Thomson - Stn 2</t>
  </si>
  <si>
    <t>SPPG Upper Thomson - Stn 3</t>
  </si>
  <si>
    <t>SPPG Upper Thomson - Stn 4</t>
  </si>
  <si>
    <t>SPPG Upper Thomson - Stn 5</t>
  </si>
  <si>
    <t>CR102</t>
  </si>
  <si>
    <t>CR103 Stn 1</t>
  </si>
  <si>
    <t>CR103 Stn 2</t>
  </si>
  <si>
    <t>N112 (SPPG Mandai) - Stn 2</t>
  </si>
  <si>
    <t>N112 (SPPG Mandai) - Stn 1</t>
  </si>
  <si>
    <t>N112 (SPPG Mandai) - Stn 3</t>
  </si>
  <si>
    <t>N112 (SPPG Mandai) - Stn 4</t>
  </si>
  <si>
    <t>N112 (SPPG Mandai) - Stn 11</t>
  </si>
  <si>
    <t>CR102 Site - Stn 2</t>
  </si>
  <si>
    <t>CR102 Site - Stn 3</t>
  </si>
  <si>
    <t>DE160 (Expo Bound - Stn 1)</t>
  </si>
  <si>
    <t>DE160 (Expo Bound - Stn 2)</t>
  </si>
  <si>
    <t>N112 (SPPG Mandai) - Stn 12</t>
  </si>
  <si>
    <t>N112 (SPPG Mandai) - Stn 13</t>
  </si>
  <si>
    <t>N112 (SPPG Mandai) - Stn 14</t>
  </si>
  <si>
    <t>N112 (SPPG Mandai) - Stn 15</t>
  </si>
  <si>
    <t>N112 (SPPG Mandai) - Stn 16</t>
  </si>
  <si>
    <t>N112 (SPPG Mandai) - Stn 17</t>
  </si>
  <si>
    <t>N112 (SPPG Mandai) - Stn 18</t>
  </si>
  <si>
    <t>PIE AMMS (STN 15)</t>
  </si>
  <si>
    <t>FMBE (Woodland Bound) Stn 4</t>
  </si>
  <si>
    <t>N1062 SPPG</t>
  </si>
  <si>
    <t>N1062 PIE</t>
  </si>
  <si>
    <t>CR105 Stn 9</t>
  </si>
  <si>
    <t>T308 - Siglap Canal</t>
  </si>
  <si>
    <t xml:space="preserve">TWRP DTSS T08 </t>
  </si>
  <si>
    <t>TWRP DTSS T08 Tunnel (Z Shaft - Stn 1)</t>
  </si>
  <si>
    <t>TWRP DTSS T08 Tunnel (Z Shaft - Stn 2)</t>
  </si>
  <si>
    <t>TWRP DTSS T08 Tunnel (Zi Shaft - Stn 3)</t>
  </si>
  <si>
    <t>TWRP DTSS T08 Tunnel (Zi Shaft - Stn 4)</t>
  </si>
  <si>
    <t>T308 - Siglap Canal (Marine Terrace Stn 1 - CB)</t>
  </si>
  <si>
    <t>T308 - Siglap Canal (Marine Terrace  Stn 1 - WB)</t>
  </si>
  <si>
    <t>30 Nassim Road (CB)</t>
  </si>
  <si>
    <t>30 Nassim Road</t>
  </si>
  <si>
    <t>CR105 Stn 6</t>
  </si>
  <si>
    <t>CR105 Stn 7</t>
  </si>
  <si>
    <t>P230224</t>
  </si>
  <si>
    <t>HX0078</t>
  </si>
  <si>
    <t>HX0098</t>
  </si>
  <si>
    <t>HX0109</t>
  </si>
  <si>
    <t>HX0114</t>
  </si>
  <si>
    <t>Received on 28/02/2024</t>
  </si>
  <si>
    <t>HX0116</t>
  </si>
  <si>
    <t>Received on 05/03/2024</t>
  </si>
  <si>
    <t>HX0105</t>
  </si>
  <si>
    <t>HX0106</t>
  </si>
  <si>
    <t>HX0108</t>
  </si>
  <si>
    <t>CR105 Stn 8</t>
  </si>
  <si>
    <t>Sokkia NET1AXTIIT/TE2</t>
  </si>
  <si>
    <t>S/I-24-03-0107</t>
  </si>
  <si>
    <t>S/I-24-03-0106</t>
  </si>
  <si>
    <t>30 Nassim Road (WB)</t>
  </si>
  <si>
    <r>
      <rPr>
        <b/>
        <sz val="10"/>
        <rFont val="Arial"/>
        <family val="2"/>
      </rPr>
      <t>STORE</t>
    </r>
    <r>
      <rPr>
        <sz val="10"/>
        <rFont val="Arial"/>
        <family val="2"/>
      </rPr>
      <t xml:space="preserve"> (CANNOT USE)
RAJA: POWER ON - ERROR CODE</t>
    </r>
  </si>
  <si>
    <r>
      <rPr>
        <b/>
        <sz val="10"/>
        <rFont val="Arial"/>
        <family val="2"/>
      </rPr>
      <t xml:space="preserve">STORE </t>
    </r>
    <r>
      <rPr>
        <sz val="10"/>
        <rFont val="Arial"/>
        <family val="2"/>
      </rPr>
      <t>(CANNOT USE)
RAJA: POWER ON - ERROR CODE</t>
    </r>
  </si>
  <si>
    <t>HX0111</t>
  </si>
  <si>
    <t>HX0100</t>
  </si>
  <si>
    <t>HX0159</t>
  </si>
  <si>
    <t>HX0090</t>
  </si>
  <si>
    <t>Received on 21/03/2024</t>
  </si>
  <si>
    <t>Sokkia NET1AXIIT/TE2</t>
  </si>
  <si>
    <t>N1012 Bugis EWL (Bugis to Lavender) (EB) Stn 1</t>
  </si>
  <si>
    <t>S/I-24-03-0203</t>
  </si>
  <si>
    <t>HX0086</t>
  </si>
  <si>
    <t>HX0155</t>
  </si>
  <si>
    <t>HX0104</t>
  </si>
  <si>
    <t>HX0113</t>
  </si>
  <si>
    <t>Received on 03/04/2024</t>
  </si>
  <si>
    <t>HX0160</t>
  </si>
  <si>
    <t>Received on 08/04/2024</t>
  </si>
  <si>
    <t>HX0112</t>
  </si>
  <si>
    <t>HX0089</t>
  </si>
  <si>
    <t>HX0157</t>
  </si>
  <si>
    <t>HX0158</t>
  </si>
  <si>
    <t>HX0179</t>
  </si>
  <si>
    <t>HX0180</t>
  </si>
  <si>
    <t>P240058</t>
  </si>
  <si>
    <t>Received on 07/05/2024</t>
  </si>
  <si>
    <t>HX0095</t>
  </si>
  <si>
    <t>Received on 17/05/2024</t>
  </si>
  <si>
    <t>HX0107</t>
  </si>
  <si>
    <t>Choa Chu Kang Town N1</t>
  </si>
  <si>
    <t>NET1m</t>
  </si>
  <si>
    <t>NET1AXII</t>
  </si>
  <si>
    <t>IX-1201</t>
  </si>
  <si>
    <t>Total Units @ H3</t>
  </si>
  <si>
    <t>Send H3 on</t>
  </si>
  <si>
    <t>CR116 AMK Stn 6</t>
  </si>
  <si>
    <t>PUB Amber Road</t>
  </si>
  <si>
    <t>PUB Amber Road - Tanjong Katong MRT Stn 1
(Changi Bound)</t>
  </si>
  <si>
    <t>PUB Amber Road - Tanjong Katong MRT Stn 2
(Changi Bound)</t>
  </si>
  <si>
    <t>PUB Amber Road - Tanjong Katong MRT Stn 3 
(Changi Bound)</t>
  </si>
  <si>
    <t>PUB Amber Road - Tanjong Katong MRT Stn 4 
(Changi Bound)</t>
  </si>
  <si>
    <t>IX-1001</t>
  </si>
  <si>
    <t>Units</t>
  </si>
  <si>
    <t>Slim Barracks Rise - Buona Vista CCL (IB Stn 1)</t>
  </si>
  <si>
    <t>Slim Barracks Rise</t>
  </si>
  <si>
    <t>Slim Barracks Rise - Buona Vista CCL (IB Stn 2)</t>
  </si>
  <si>
    <t>Slim Barracks Rise - Buona Vista CCL (OB Stn 1)</t>
  </si>
  <si>
    <t>Slim Barracks Rise - Buona Vista CCL (OB Stn 2)</t>
  </si>
  <si>
    <t>14/04/24 - 14/04/25</t>
  </si>
  <si>
    <t>16/04/24 - 16/04/25</t>
  </si>
  <si>
    <t>14/04/24 -14/04/25</t>
  </si>
  <si>
    <t>14/04/24 14/04/25</t>
  </si>
  <si>
    <t>COZUSU</t>
  </si>
  <si>
    <t>CUQOFU</t>
  </si>
  <si>
    <t>RIXUQA</t>
  </si>
  <si>
    <t>Parry Avenue</t>
  </si>
  <si>
    <t>16/04/23-16/04/24</t>
  </si>
  <si>
    <t>18/03/24 - 18/03/25</t>
  </si>
  <si>
    <t>15/03/24 - 15/03/25</t>
  </si>
  <si>
    <t>T308 Siglap Canal (WB)</t>
  </si>
  <si>
    <t>T308 Siglap Canal (CB)</t>
  </si>
  <si>
    <t>CANCELLED (APS)</t>
  </si>
  <si>
    <t>CCK Town N1 - Bukit Panjang MRT Stn
(Bukit Panjang Bound - Stn 1)</t>
  </si>
  <si>
    <t>CCK Town N1 - Bukit Panjang MRT Stn
(Bukit Panjang Bound - Stn 6)</t>
  </si>
  <si>
    <t>CCK Town N1 - Bukit Panjang MRT Stn
(Bukit Panjang Bound - Stn 5)</t>
  </si>
  <si>
    <t>CCK Town N1 - Bukit Panjang MRT Stn
(Bukit Panjang Bound - Stn 4)</t>
  </si>
  <si>
    <t>CCK Town N1 - Bukit Panjang MRT Stn
(Bukit Panjang Bound - Stn 3)</t>
  </si>
  <si>
    <t>CCK Town N1 - Bukit Panjang MRT Stn
(Bukit Panjang Bound  - Stn 2)</t>
  </si>
  <si>
    <t>CCK Town N1 - Bukit Panjang MRT Stn
(Bukit Panjang Bound - Stn 7)</t>
  </si>
  <si>
    <t>CCK Town N1 - Bukit Panjang MRT Stn
(Bukit Panjang Bound - Stn 8)</t>
  </si>
  <si>
    <t>PUB Amber Road - Tanjong Katong MRT Stn 5 
(Changi Bound)</t>
  </si>
  <si>
    <t>CR116 AMK Stn 7</t>
  </si>
  <si>
    <t>CR116 AMK Stn 8</t>
  </si>
  <si>
    <t>T215 Stn 1 (Changi Bound)</t>
  </si>
  <si>
    <t>J112 Jurong Pier Viaduct (Stn 5)</t>
  </si>
  <si>
    <t>J112 Jurong Pier Viaduct (Stn 6)</t>
  </si>
  <si>
    <t>T215 Stn 4 (Woodlands Bound)</t>
  </si>
  <si>
    <t>S/I-24-04-0035</t>
  </si>
  <si>
    <t>S/I-24-04-0107</t>
  </si>
  <si>
    <t>S/I-24-04-0111</t>
  </si>
  <si>
    <t>S/I-24-05-0036</t>
  </si>
  <si>
    <t>S/I-24-05-0172</t>
  </si>
  <si>
    <t>N1082 (OB - Stn 3)</t>
  </si>
  <si>
    <t>N1012 Bugis EWL(Bugis to Cityhall) (WB) Stn 2</t>
  </si>
  <si>
    <t>MS1AXII</t>
  </si>
  <si>
    <t>N1102 (Ang Mo Kio Ave 9 - Stn 1)</t>
  </si>
  <si>
    <t>01/07/24 - 01/07/25</t>
  </si>
  <si>
    <t>N1112 Bullion Park Ext (Stn 1)</t>
  </si>
  <si>
    <t>N1112 Bullion Park Ext (Stn 2)</t>
  </si>
  <si>
    <t>N1112 Bullion Park Ext (Stn 6)</t>
  </si>
  <si>
    <t>CR116i AMK</t>
  </si>
  <si>
    <t>Loan to Global SinoTrust Pte Ltd on 14/11/2024</t>
  </si>
  <si>
    <t>CR102 Land Slide Site - Stn 4</t>
  </si>
  <si>
    <t>HX0205</t>
  </si>
  <si>
    <t>HX0207</t>
  </si>
  <si>
    <t>HX0208</t>
  </si>
  <si>
    <t>HX0209</t>
  </si>
  <si>
    <t>HX0211</t>
  </si>
  <si>
    <t>Received on 03/12/2024</t>
  </si>
  <si>
    <t>P240128</t>
  </si>
  <si>
    <t>S/I-24-11-0309</t>
  </si>
  <si>
    <t>East Spring Sec Sch (ESSS)</t>
  </si>
  <si>
    <t>East Spring Sec Sch - Tamp East MRT Stn 
(Stn 1 - BB Bound)</t>
  </si>
  <si>
    <t>Caldecott MRT Stn (OB - Stn 6)</t>
  </si>
  <si>
    <t>17/1/2025 - 17/01/2026</t>
  </si>
  <si>
    <t>17/1/2024- 17/01/2025</t>
  </si>
  <si>
    <t>SPPG May Road</t>
  </si>
  <si>
    <t>SPPG May Road - Stn 1</t>
  </si>
  <si>
    <t>SPPG May Road - Stn 2</t>
  </si>
  <si>
    <t>J112 Jurong Pier Viaduct (Stn 3)</t>
  </si>
  <si>
    <t>J112 Jurong Pier Viaduct (Stn 4)</t>
  </si>
  <si>
    <t>SPPG May Road - Stn 3</t>
  </si>
  <si>
    <t>SPPG May Road - Stn 4</t>
  </si>
  <si>
    <t>CR102 Land Slide Site - Stn 6</t>
  </si>
  <si>
    <t>CR102 Land Slide Site - Stn 7</t>
  </si>
  <si>
    <t>Orchard Boulevard Stn 1 (Woodlands Bound)</t>
  </si>
  <si>
    <t>Orchard Boulevard</t>
  </si>
  <si>
    <t>Orchard Boulevard Stn 2 (Woodlands Bound)</t>
  </si>
  <si>
    <t>Purchased by H3 on 17/04/2025</t>
  </si>
  <si>
    <t>N1012 Bugis EWL (Bugis to Lavender) (WB) Stn 1</t>
  </si>
  <si>
    <t>IEC: 61672-1</t>
  </si>
  <si>
    <t>Lasalle College</t>
  </si>
  <si>
    <t>Real-Tme Wireless Noise Monitoring System</t>
  </si>
  <si>
    <t>Previous Location</t>
  </si>
  <si>
    <t xml:space="preserve">Noise Meter </t>
  </si>
  <si>
    <t>BKSR Package 4 - CCL</t>
  </si>
  <si>
    <t>BKSR Package 4 (Lorong Chuan MRT - Stn 1) IB</t>
  </si>
  <si>
    <t>BKSR Package 4 (Lorong Chuan MRT - Stn 2) IB</t>
  </si>
  <si>
    <t>TRG001 TRIBRACH (Green Colour)</t>
  </si>
  <si>
    <t>Amount Purchased</t>
  </si>
  <si>
    <t>Amount Sold</t>
  </si>
  <si>
    <t xml:space="preserve">TRG001 Tribrach </t>
  </si>
  <si>
    <t>TRB0001</t>
  </si>
  <si>
    <t>TRB0003</t>
  </si>
  <si>
    <t>TRB0004</t>
  </si>
  <si>
    <t>TRB0002</t>
  </si>
  <si>
    <t>Sold to H3 Geospatial Technologies  Pte Ltd on 06.05.2025</t>
  </si>
  <si>
    <t>Loan to H3 on 28/04/2025</t>
  </si>
  <si>
    <t>05/11/23 - 05/11/24</t>
  </si>
  <si>
    <t>Stopped Monitoring
(No renewal for 05/11/24 - 05/11/25)</t>
  </si>
  <si>
    <t>18/3/25 - 18/03/26</t>
  </si>
  <si>
    <t>BKSR Package 4 (Lorong Chuan MRT - Stn 1) OB</t>
  </si>
  <si>
    <t>BKSR Package 4 (Lorong Chuan MRT - Stn 2) OB</t>
  </si>
  <si>
    <t>CR116i AMK Stn 4</t>
  </si>
  <si>
    <t>CR116 AMK Stn 9</t>
  </si>
  <si>
    <t>Orchard Boulevard Stn 1 (Changi Bound)</t>
  </si>
  <si>
    <t>Orchard Boulevard Stn 2 (Changi Bound)</t>
  </si>
  <si>
    <t>CR116 AMK Stn 1</t>
  </si>
  <si>
    <t>NET1mII</t>
  </si>
  <si>
    <t>N1062 - SPPG Marymount (Stn 6)</t>
  </si>
  <si>
    <t>N1062 - SPPG Marymount (Stn 1)</t>
  </si>
  <si>
    <t>N1062 - SPPG Marymount (Stn 2)</t>
  </si>
  <si>
    <t>N1062 - SPPG Marymount (Stn 3)</t>
  </si>
  <si>
    <t>N1062 - SPPG Marymount (Stn 4)</t>
  </si>
  <si>
    <t>N1062 - SPPG Marymount (Stn 5)</t>
  </si>
  <si>
    <t>N1062 - SPPG Marymount (Stn 7)</t>
  </si>
  <si>
    <t>N1062 - SPPG Marymount (Stn 10)</t>
  </si>
  <si>
    <t>N1062 - SPPG Marymount (Stn 11)</t>
  </si>
  <si>
    <t>N1062 - SPPG Marymount (Stn 9)</t>
  </si>
  <si>
    <t>N1062 - SPPG Marymount (Stn 8)</t>
  </si>
  <si>
    <t>16/04/25 - 16/04/26</t>
  </si>
  <si>
    <t>14/04/25 - 14/04/26</t>
  </si>
  <si>
    <t>CR2112 AYE</t>
  </si>
  <si>
    <t>CR2112 AYE Stn 1</t>
  </si>
  <si>
    <t>S/I-25-06-0237</t>
  </si>
  <si>
    <t>P250059</t>
  </si>
  <si>
    <t>HX0215</t>
  </si>
  <si>
    <t>Received on 25/06/2025</t>
  </si>
  <si>
    <t>HX0221</t>
  </si>
  <si>
    <t>CR116 AMK Stn 10</t>
  </si>
  <si>
    <t>S/I-25-07-0015</t>
  </si>
  <si>
    <t>HX0210</t>
  </si>
  <si>
    <t>Received on 03/07/2025</t>
  </si>
  <si>
    <t>HX0218</t>
  </si>
  <si>
    <t>HX0219</t>
  </si>
  <si>
    <t>Pamiala: Pending - Looking for buyer
21/07/2025</t>
  </si>
  <si>
    <t>N112 (SPPG Mandai) - Stn 10</t>
  </si>
  <si>
    <t>N1072 Braddell Height Stn 1</t>
  </si>
  <si>
    <t>CR105 Stn 12</t>
  </si>
  <si>
    <t>CR105 Stn 11</t>
  </si>
  <si>
    <t>NET05AX</t>
  </si>
  <si>
    <t>No record instrument brought back from N1062 PIE AMMS (Stn 12)</t>
  </si>
  <si>
    <t>CR105 Stn 13</t>
  </si>
  <si>
    <t>Merpati Road</t>
  </si>
  <si>
    <t>Merpati Road - Mattar MRT Stn 1 (BP Bound)</t>
  </si>
  <si>
    <t>Merpati Road - Mattar MRT Stn 1 (Expo Bound)</t>
  </si>
  <si>
    <t>CR105 Stn 14</t>
  </si>
  <si>
    <t>PIE AMMS (STN 7)</t>
  </si>
  <si>
    <t>N1012 Bugis DTL (XB) Stn 1</t>
  </si>
  <si>
    <t>CR105 Stn 15</t>
  </si>
  <si>
    <t>PIE AMMS (STN 8)</t>
  </si>
  <si>
    <t>PG-2500 Single Prism</t>
  </si>
  <si>
    <t>BB Bound</t>
  </si>
  <si>
    <t>Returned on</t>
  </si>
  <si>
    <t>S/I-25-10-0278</t>
  </si>
  <si>
    <t>P250142</t>
  </si>
  <si>
    <t>HX0217</t>
  </si>
  <si>
    <t>Received on 29/10/2025</t>
  </si>
  <si>
    <t>HX0220</t>
  </si>
  <si>
    <t>HX0233</t>
  </si>
  <si>
    <t>HX0234</t>
  </si>
  <si>
    <t>AM1062 (Tampines Viaduct)</t>
  </si>
  <si>
    <t>AM1062 (Tampines Median)</t>
  </si>
  <si>
    <t>AM1062</t>
  </si>
  <si>
    <t>S/I-25-11-0330</t>
  </si>
  <si>
    <t>Received on 28/11/2025</t>
  </si>
  <si>
    <t>HX0269</t>
  </si>
  <si>
    <t>Sokkia MS1AXIIT</t>
  </si>
  <si>
    <t>Automated 3D Station
SOKKIA MS1AXIIT 3D Ultra High-Precision 3D station complete with:
2 x BDC70/72 battery
1 x CDC68/77 quick charger
1 x EDC113 Power cable
1 X Standard package components</t>
  </si>
  <si>
    <t>Received on 05/12/2025</t>
  </si>
  <si>
    <t>HZ0242</t>
  </si>
  <si>
    <t>HZ0239</t>
  </si>
  <si>
    <t>S/I-25-12-0065</t>
  </si>
  <si>
    <t>P250162</t>
  </si>
  <si>
    <t>Purchased by SDM on 19/11/2025 I250316</t>
  </si>
  <si>
    <t>Global Sinotrust Pte Ltd</t>
  </si>
  <si>
    <t>H3</t>
  </si>
  <si>
    <t>Sembcorp Specialised Construction Pte Ltd</t>
  </si>
  <si>
    <t>Loan on 21/11/2025</t>
  </si>
  <si>
    <t>Loan on 31/10/2025</t>
  </si>
  <si>
    <t>Loan on 04/11/2025</t>
  </si>
  <si>
    <t>Loan on 08/12/2025</t>
  </si>
  <si>
    <t>Purchased by SDM on 07/10/2025 I250268</t>
  </si>
  <si>
    <t>S.D.M Company Limited</t>
  </si>
  <si>
    <t>Total Station (Loan/Sold)</t>
  </si>
  <si>
    <t>HZ0249</t>
  </si>
  <si>
    <t>HZ0244</t>
  </si>
  <si>
    <t>S/I-25-12-0093</t>
  </si>
  <si>
    <t>Received on 08/12/2025</t>
  </si>
  <si>
    <t>HX0267</t>
  </si>
  <si>
    <t>HX0268</t>
  </si>
  <si>
    <t>P250180</t>
  </si>
  <si>
    <t>S/I-25-12-0087</t>
  </si>
  <si>
    <t>Automated 3D Station
SOKKIA MS1AXII 3D Ultra High-Precision 3D station complete with:
2 x BDC70/72 battery
1 x CDC68/77 quick charger
1 x EDC113 Power cable
1 X Standard package components</t>
  </si>
  <si>
    <t>HZ0245</t>
  </si>
  <si>
    <t>Received on 09/12/2025</t>
  </si>
  <si>
    <t>S/I-25-12-0106</t>
  </si>
  <si>
    <t>Loan on 10/11/2025</t>
  </si>
  <si>
    <t>USED</t>
  </si>
  <si>
    <t>Loan on 10/12/2025</t>
  </si>
  <si>
    <t>Loan on 15/12/2025</t>
  </si>
  <si>
    <t>Loan on 19/12/2025</t>
  </si>
  <si>
    <t>invoice_number</t>
  </si>
  <si>
    <t>invoice_date</t>
  </si>
  <si>
    <t>po_number</t>
  </si>
  <si>
    <t>model_id</t>
  </si>
  <si>
    <t>serial_number</t>
  </si>
  <si>
    <t>unit_remarks1</t>
  </si>
  <si>
    <t>amount</t>
  </si>
  <si>
    <t>unit_remarks3</t>
  </si>
  <si>
    <t>unit_remarks2</t>
  </si>
  <si>
    <t>Sokkia NET1AXII/TE</t>
  </si>
  <si>
    <t>MS05AXII</t>
  </si>
  <si>
    <t>Sokkia NET05XTIIT-21W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</si>
</sst>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[$-409]d\-mmm\-yy;@"/>
    <numFmt numFmtId="166" formatCode="_([$$-409]* #,##0.00_);_([$$-409]* \(#,##0.00\);_([$$-409]* &quot;-&quot;??_);_(@_)"/>
    <numFmt numFmtId="167" formatCode="_([$USD]\ * #,##0.00_);_([$USD]\ * \(#,##0.00\);_([$USD]\ * &quot;-&quot;??_);_(@_)"/>
    <numFmt numFmtId="168" formatCode="[$USD]\ #,##0.00"/>
    <numFmt numFmtId="169" formatCode="#,##0.00\ [$€-1];[Red]\-#,##0.00\ [$€-1]"/>
    <numFmt numFmtId="170" formatCode="[$-409]dd\-mmm\-yy;@"/>
  </numFmts>
  <fonts count="4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trike/>
      <sz val="10"/>
      <color indexed="8"/>
      <name val="Arial"/>
      <family val="2"/>
    </font>
    <font>
      <b/>
      <strike/>
      <sz val="10"/>
      <name val="Arial"/>
      <family val="2"/>
    </font>
    <font>
      <strike/>
      <sz val="10"/>
      <name val="Arial"/>
      <family val="2"/>
    </font>
    <font>
      <sz val="10"/>
      <name val="Arial"/>
      <family val="2"/>
    </font>
    <font>
      <b/>
      <sz val="14"/>
      <color indexed="8"/>
      <name val="Arial"/>
      <family val="2"/>
    </font>
    <font>
      <sz val="20"/>
      <name val="Arial"/>
      <family val="2"/>
    </font>
    <font>
      <u/>
      <sz val="14.3"/>
      <color theme="11"/>
      <name val="Calibri"/>
      <family val="2"/>
    </font>
    <font>
      <u/>
      <sz val="14.3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8"/>
      <name val="Arial"/>
      <family val="2"/>
    </font>
    <font>
      <sz val="12"/>
      <color indexed="81"/>
      <name val="Tahoma"/>
      <family val="2"/>
    </font>
    <font>
      <b/>
      <sz val="12"/>
      <color indexed="81"/>
      <name val="Tahoma"/>
      <family val="2"/>
    </font>
    <font>
      <sz val="8"/>
      <name val="Arial"/>
      <family val="2"/>
    </font>
    <font>
      <sz val="10"/>
      <color rgb="FFED0000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8"/>
      <name val="Arial"/>
    </font>
    <font>
      <b/>
      <sz val="8"/>
      <name val="Arial"/>
      <family val="2"/>
    </font>
    <font>
      <b/>
      <sz val="11"/>
      <color rgb="FFFF0000"/>
      <name val="Arial"/>
      <family val="2"/>
    </font>
    <font>
      <b/>
      <sz val="8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7" fillId="0" borderId="0" applyFont="0" applyFill="0" applyBorder="0" applyAlignment="0" applyProtection="0"/>
    <xf numFmtId="0" fontId="1" fillId="0" borderId="0"/>
    <xf numFmtId="164" fontId="2" fillId="0" borderId="0" applyFont="0" applyFill="0" applyBorder="0" applyAlignment="0" applyProtection="0"/>
    <xf numFmtId="0" fontId="32" fillId="0" borderId="0"/>
  </cellStyleXfs>
  <cellXfs count="583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5" fillId="0" borderId="2" xfId="0" applyNumberFormat="1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left" vertical="center"/>
    </xf>
    <xf numFmtId="49" fontId="0" fillId="0" borderId="1" xfId="0" applyNumberFormat="1" applyBorder="1"/>
    <xf numFmtId="49" fontId="3" fillId="0" borderId="1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vertical="center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vertical="center" wrapText="1"/>
    </xf>
    <xf numFmtId="0" fontId="0" fillId="0" borderId="0" xfId="0" applyAlignment="1">
      <alignment wrapText="1"/>
    </xf>
    <xf numFmtId="49" fontId="5" fillId="0" borderId="2" xfId="0" applyNumberFormat="1" applyFont="1" applyBorder="1" applyAlignment="1">
      <alignment vertical="center" wrapText="1"/>
    </xf>
    <xf numFmtId="49" fontId="0" fillId="2" borderId="1" xfId="0" applyNumberFormat="1" applyFill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5" fillId="0" borderId="0" xfId="0" applyNumberFormat="1" applyFont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 vertical="center" wrapText="1"/>
    </xf>
    <xf numFmtId="165" fontId="5" fillId="0" borderId="0" xfId="0" applyNumberFormat="1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vertical="center" wrapText="1"/>
    </xf>
    <xf numFmtId="49" fontId="0" fillId="3" borderId="1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vertical="center" wrapText="1"/>
    </xf>
    <xf numFmtId="49" fontId="0" fillId="4" borderId="1" xfId="0" applyNumberFormat="1" applyFill="1" applyBorder="1" applyAlignment="1">
      <alignment vertical="center"/>
    </xf>
    <xf numFmtId="49" fontId="0" fillId="4" borderId="1" xfId="0" applyNumberForma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vertical="center" wrapText="1"/>
    </xf>
    <xf numFmtId="49" fontId="0" fillId="5" borderId="1" xfId="0" applyNumberFormat="1" applyFill="1" applyBorder="1" applyAlignment="1">
      <alignment vertical="center"/>
    </xf>
    <xf numFmtId="49" fontId="0" fillId="5" borderId="1" xfId="0" applyNumberForma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left" vertical="center" wrapText="1"/>
    </xf>
    <xf numFmtId="0" fontId="8" fillId="0" borderId="0" xfId="0" applyFont="1"/>
    <xf numFmtId="49" fontId="8" fillId="0" borderId="5" xfId="0" applyNumberFormat="1" applyFont="1" applyBorder="1" applyAlignment="1">
      <alignment horizontal="center" wrapText="1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/>
    <xf numFmtId="49" fontId="8" fillId="0" borderId="0" xfId="0" applyNumberFormat="1" applyFont="1" applyAlignment="1">
      <alignment wrapText="1"/>
    </xf>
    <xf numFmtId="49" fontId="9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5" xfId="0" applyFont="1" applyBorder="1" applyAlignment="1">
      <alignment horizontal="center"/>
    </xf>
    <xf numFmtId="49" fontId="8" fillId="0" borderId="0" xfId="0" applyNumberFormat="1" applyFont="1" applyAlignment="1">
      <alignment vertical="center"/>
    </xf>
    <xf numFmtId="0" fontId="8" fillId="0" borderId="5" xfId="0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49" fontId="0" fillId="0" borderId="7" xfId="0" applyNumberFormat="1" applyBorder="1" applyAlignment="1">
      <alignment vertical="center"/>
    </xf>
    <xf numFmtId="0" fontId="1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167" fontId="8" fillId="0" borderId="2" xfId="0" applyNumberFormat="1" applyFont="1" applyBorder="1" applyAlignment="1">
      <alignment horizontal="center" vertical="center"/>
    </xf>
    <xf numFmtId="49" fontId="3" fillId="4" borderId="1" xfId="0" applyNumberFormat="1" applyFont="1" applyFill="1" applyBorder="1" applyAlignment="1">
      <alignment vertical="center" wrapText="1"/>
    </xf>
    <xf numFmtId="0" fontId="11" fillId="0" borderId="5" xfId="0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left" vertical="center" wrapText="1"/>
    </xf>
    <xf numFmtId="49" fontId="10" fillId="0" borderId="5" xfId="0" applyNumberFormat="1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8" applyAlignment="1">
      <alignment vertical="center"/>
    </xf>
    <xf numFmtId="49" fontId="3" fillId="0" borderId="1" xfId="8" applyNumberFormat="1" applyBorder="1" applyAlignment="1">
      <alignment vertical="center"/>
    </xf>
    <xf numFmtId="0" fontId="3" fillId="0" borderId="5" xfId="8" applyBorder="1" applyAlignment="1">
      <alignment vertical="center"/>
    </xf>
    <xf numFmtId="0" fontId="9" fillId="0" borderId="0" xfId="8" applyFont="1" applyAlignment="1">
      <alignment vertical="center"/>
    </xf>
    <xf numFmtId="165" fontId="9" fillId="0" borderId="0" xfId="8" applyNumberFormat="1" applyFont="1" applyAlignment="1">
      <alignment horizontal="center" vertical="center"/>
    </xf>
    <xf numFmtId="0" fontId="10" fillId="0" borderId="5" xfId="8" applyFont="1" applyBorder="1" applyAlignment="1">
      <alignment horizontal="center" vertical="center"/>
    </xf>
    <xf numFmtId="49" fontId="11" fillId="0" borderId="5" xfId="8" applyNumberFormat="1" applyFont="1" applyBorder="1" applyAlignment="1">
      <alignment vertical="center"/>
    </xf>
    <xf numFmtId="4" fontId="11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/>
    </xf>
    <xf numFmtId="49" fontId="9" fillId="0" borderId="0" xfId="8" applyNumberFormat="1" applyFont="1" applyAlignment="1">
      <alignment vertical="center"/>
    </xf>
    <xf numFmtId="168" fontId="8" fillId="0" borderId="5" xfId="0" applyNumberFormat="1" applyFont="1" applyBorder="1" applyAlignment="1">
      <alignment vertical="center"/>
    </xf>
    <xf numFmtId="0" fontId="8" fillId="0" borderId="5" xfId="0" applyFont="1" applyBorder="1" applyAlignment="1">
      <alignment horizontal="left" vertical="center" wrapText="1"/>
    </xf>
    <xf numFmtId="49" fontId="9" fillId="0" borderId="0" xfId="8" applyNumberFormat="1" applyFont="1" applyAlignment="1">
      <alignment horizontal="center" vertical="center"/>
    </xf>
    <xf numFmtId="49" fontId="3" fillId="0" borderId="9" xfId="8" applyNumberFormat="1" applyBorder="1" applyAlignment="1">
      <alignment vertical="center"/>
    </xf>
    <xf numFmtId="49" fontId="3" fillId="0" borderId="5" xfId="8" applyNumberFormat="1" applyBorder="1" applyAlignment="1">
      <alignment vertical="center"/>
    </xf>
    <xf numFmtId="0" fontId="11" fillId="0" borderId="5" xfId="0" applyFont="1" applyBorder="1" applyAlignment="1">
      <alignment vertical="center"/>
    </xf>
    <xf numFmtId="49" fontId="11" fillId="0" borderId="1" xfId="0" applyNumberFormat="1" applyFont="1" applyBorder="1" applyAlignment="1">
      <alignment vertical="center"/>
    </xf>
    <xf numFmtId="164" fontId="11" fillId="0" borderId="5" xfId="3" applyFont="1" applyBorder="1" applyAlignment="1">
      <alignment horizontal="center" vertical="center"/>
    </xf>
    <xf numFmtId="0" fontId="3" fillId="0" borderId="5" xfId="8" applyBorder="1" applyAlignment="1">
      <alignment horizontal="center" vertical="center"/>
    </xf>
    <xf numFmtId="164" fontId="3" fillId="0" borderId="5" xfId="2" applyFont="1" applyBorder="1" applyAlignment="1">
      <alignment horizontal="center" vertical="center" wrapText="1"/>
    </xf>
    <xf numFmtId="164" fontId="3" fillId="0" borderId="5" xfId="2" applyFont="1" applyBorder="1" applyAlignment="1">
      <alignment horizontal="center" vertical="center"/>
    </xf>
    <xf numFmtId="49" fontId="3" fillId="0" borderId="12" xfId="8" applyNumberFormat="1" applyBorder="1" applyAlignment="1">
      <alignment vertical="center"/>
    </xf>
    <xf numFmtId="164" fontId="3" fillId="0" borderId="6" xfId="2" applyFont="1" applyBorder="1" applyAlignment="1">
      <alignment horizontal="center" vertical="center"/>
    </xf>
    <xf numFmtId="0" fontId="11" fillId="6" borderId="11" xfId="8" applyFont="1" applyFill="1" applyBorder="1" applyAlignment="1">
      <alignment vertical="center"/>
    </xf>
    <xf numFmtId="164" fontId="11" fillId="6" borderId="11" xfId="8" applyNumberFormat="1" applyFont="1" applyFill="1" applyBorder="1" applyAlignment="1">
      <alignment vertical="center"/>
    </xf>
    <xf numFmtId="0" fontId="11" fillId="0" borderId="0" xfId="8" applyFont="1" applyAlignment="1">
      <alignment vertical="center"/>
    </xf>
    <xf numFmtId="164" fontId="11" fillId="0" borderId="0" xfId="2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3" applyFont="1" applyBorder="1" applyAlignment="1">
      <alignment vertical="center"/>
    </xf>
    <xf numFmtId="164" fontId="9" fillId="0" borderId="0" xfId="3" applyFont="1" applyFill="1" applyAlignment="1">
      <alignment vertical="center"/>
    </xf>
    <xf numFmtId="164" fontId="8" fillId="0" borderId="5" xfId="3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164" fontId="3" fillId="0" borderId="0" xfId="2" applyFont="1" applyBorder="1" applyAlignment="1">
      <alignment horizontal="center" vertical="center"/>
    </xf>
    <xf numFmtId="49" fontId="11" fillId="0" borderId="1" xfId="8" applyNumberFormat="1" applyFont="1" applyBorder="1" applyAlignment="1">
      <alignment vertical="center"/>
    </xf>
    <xf numFmtId="0" fontId="11" fillId="0" borderId="5" xfId="8" applyFont="1" applyBorder="1" applyAlignment="1">
      <alignment horizontal="center" vertical="center"/>
    </xf>
    <xf numFmtId="0" fontId="3" fillId="0" borderId="0" xfId="8" applyAlignment="1">
      <alignment horizontal="center" vertical="center"/>
    </xf>
    <xf numFmtId="0" fontId="0" fillId="0" borderId="5" xfId="0" applyBorder="1" applyAlignment="1">
      <alignment vertical="center"/>
    </xf>
    <xf numFmtId="167" fontId="0" fillId="0" borderId="5" xfId="0" applyNumberFormat="1" applyBorder="1" applyAlignment="1">
      <alignment horizontal="center" vertical="center"/>
    </xf>
    <xf numFmtId="0" fontId="22" fillId="0" borderId="0" xfId="0" applyFont="1" applyAlignment="1">
      <alignment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5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169" fontId="23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2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167" fontId="13" fillId="0" borderId="2" xfId="0" applyNumberFormat="1" applyFont="1" applyBorder="1" applyAlignment="1">
      <alignment vertical="center"/>
    </xf>
    <xf numFmtId="0" fontId="11" fillId="6" borderId="11" xfId="0" applyFont="1" applyFill="1" applyBorder="1" applyAlignment="1">
      <alignment horizontal="center" vertical="center"/>
    </xf>
    <xf numFmtId="167" fontId="14" fillId="6" borderId="11" xfId="0" applyNumberFormat="1" applyFont="1" applyFill="1" applyBorder="1" applyAlignment="1">
      <alignment vertical="center"/>
    </xf>
    <xf numFmtId="167" fontId="11" fillId="0" borderId="11" xfId="3" applyNumberFormat="1" applyFont="1" applyFill="1" applyBorder="1" applyAlignment="1">
      <alignment horizontal="center" vertical="center"/>
    </xf>
    <xf numFmtId="164" fontId="13" fillId="0" borderId="2" xfId="3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6" fontId="15" fillId="0" borderId="5" xfId="3" applyNumberFormat="1" applyFont="1" applyFill="1" applyBorder="1" applyAlignment="1">
      <alignment vertical="center"/>
    </xf>
    <xf numFmtId="49" fontId="3" fillId="0" borderId="1" xfId="0" applyNumberFormat="1" applyFont="1" applyBorder="1" applyAlignment="1">
      <alignment vertical="center" wrapText="1"/>
    </xf>
    <xf numFmtId="164" fontId="15" fillId="0" borderId="5" xfId="3" applyFont="1" applyFill="1" applyBorder="1" applyAlignment="1">
      <alignment vertical="center"/>
    </xf>
    <xf numFmtId="164" fontId="14" fillId="6" borderId="11" xfId="3" applyFont="1" applyFill="1" applyBorder="1" applyAlignment="1">
      <alignment vertical="center"/>
    </xf>
    <xf numFmtId="0" fontId="9" fillId="0" borderId="0" xfId="8" applyFont="1" applyAlignment="1">
      <alignment horizontal="center" vertical="center"/>
    </xf>
    <xf numFmtId="49" fontId="3" fillId="0" borderId="5" xfId="8" quotePrefix="1" applyNumberFormat="1" applyBorder="1" applyAlignment="1">
      <alignment horizontal="center" vertical="center"/>
    </xf>
    <xf numFmtId="49" fontId="3" fillId="0" borderId="5" xfId="8" applyNumberFormat="1" applyBorder="1" applyAlignment="1">
      <alignment horizontal="center" vertical="center"/>
    </xf>
    <xf numFmtId="49" fontId="11" fillId="0" borderId="5" xfId="8" applyNumberFormat="1" applyFont="1" applyBorder="1" applyAlignment="1">
      <alignment horizontal="center" vertical="center"/>
    </xf>
    <xf numFmtId="164" fontId="3" fillId="0" borderId="5" xfId="2" applyFont="1" applyFill="1" applyBorder="1" applyAlignment="1">
      <alignment horizontal="center" vertical="center" wrapText="1"/>
    </xf>
    <xf numFmtId="165" fontId="9" fillId="0" borderId="0" xfId="8" applyNumberFormat="1" applyFont="1" applyAlignment="1">
      <alignment horizontal="center" vertical="center" wrapText="1"/>
    </xf>
    <xf numFmtId="49" fontId="11" fillId="0" borderId="5" xfId="8" applyNumberFormat="1" applyFont="1" applyBorder="1" applyAlignment="1">
      <alignment horizontal="center" vertical="center" wrapText="1"/>
    </xf>
    <xf numFmtId="49" fontId="3" fillId="0" borderId="5" xfId="8" applyNumberFormat="1" applyBorder="1" applyAlignment="1">
      <alignment horizontal="center" vertical="center" wrapText="1"/>
    </xf>
    <xf numFmtId="0" fontId="3" fillId="0" borderId="0" xfId="8" applyAlignment="1">
      <alignment horizontal="center" vertical="center" wrapText="1"/>
    </xf>
    <xf numFmtId="49" fontId="3" fillId="0" borderId="16" xfId="8" applyNumberFormat="1" applyBorder="1" applyAlignment="1">
      <alignment horizontal="center" vertical="center"/>
    </xf>
    <xf numFmtId="49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" xfId="8" applyNumberFormat="1" applyBorder="1" applyAlignment="1">
      <alignment horizontal="center" vertical="center"/>
    </xf>
    <xf numFmtId="49" fontId="11" fillId="0" borderId="17" xfId="8" applyNumberFormat="1" applyFont="1" applyBorder="1" applyAlignment="1">
      <alignment horizontal="center" vertical="center"/>
    </xf>
    <xf numFmtId="0" fontId="9" fillId="0" borderId="5" xfId="8" applyFont="1" applyBorder="1" applyAlignment="1">
      <alignment vertical="center"/>
    </xf>
    <xf numFmtId="165" fontId="9" fillId="0" borderId="5" xfId="8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0" xfId="8" applyNumberFormat="1" applyAlignment="1">
      <alignment horizontal="center" vertical="center"/>
    </xf>
    <xf numFmtId="167" fontId="3" fillId="0" borderId="10" xfId="2" applyNumberFormat="1" applyFont="1" applyFill="1" applyBorder="1" applyAlignment="1">
      <alignment horizontal="center" vertical="center" wrapText="1"/>
    </xf>
    <xf numFmtId="164" fontId="3" fillId="0" borderId="10" xfId="5" applyFont="1" applyFill="1" applyBorder="1" applyAlignment="1">
      <alignment horizontal="center" vertical="center" wrapText="1"/>
    </xf>
    <xf numFmtId="0" fontId="11" fillId="0" borderId="0" xfId="8" applyFont="1" applyAlignment="1">
      <alignment horizontal="center" vertical="center"/>
    </xf>
    <xf numFmtId="49" fontId="11" fillId="0" borderId="0" xfId="8" applyNumberFormat="1" applyFont="1" applyAlignment="1">
      <alignment vertical="center"/>
    </xf>
    <xf numFmtId="49" fontId="11" fillId="0" borderId="0" xfId="8" applyNumberFormat="1" applyFont="1" applyAlignment="1">
      <alignment horizontal="center" vertical="center"/>
    </xf>
    <xf numFmtId="165" fontId="11" fillId="0" borderId="0" xfId="8" applyNumberFormat="1" applyFont="1" applyAlignment="1">
      <alignment horizontal="center" vertical="center"/>
    </xf>
    <xf numFmtId="49" fontId="11" fillId="7" borderId="5" xfId="8" applyNumberFormat="1" applyFont="1" applyFill="1" applyBorder="1" applyAlignment="1">
      <alignment horizontal="center" vertical="center"/>
    </xf>
    <xf numFmtId="49" fontId="10" fillId="0" borderId="5" xfId="8" applyNumberFormat="1" applyFont="1" applyBorder="1" applyAlignment="1">
      <alignment horizontal="center" vertical="center" wrapText="1"/>
    </xf>
    <xf numFmtId="165" fontId="3" fillId="0" borderId="5" xfId="8" applyNumberFormat="1" applyBorder="1" applyAlignment="1">
      <alignment horizontal="center" vertical="center"/>
    </xf>
    <xf numFmtId="49" fontId="8" fillId="0" borderId="5" xfId="8" applyNumberFormat="1" applyFont="1" applyBorder="1" applyAlignment="1">
      <alignment horizontal="center" vertical="center"/>
    </xf>
    <xf numFmtId="49" fontId="3" fillId="7" borderId="5" xfId="8" applyNumberFormat="1" applyFill="1" applyBorder="1" applyAlignment="1">
      <alignment vertical="center"/>
    </xf>
    <xf numFmtId="49" fontId="3" fillId="7" borderId="5" xfId="8" applyNumberFormat="1" applyFill="1" applyBorder="1" applyAlignment="1">
      <alignment horizontal="center" vertical="center"/>
    </xf>
    <xf numFmtId="49" fontId="8" fillId="0" borderId="5" xfId="8" applyNumberFormat="1" applyFont="1" applyBorder="1" applyAlignment="1">
      <alignment vertical="center" wrapText="1"/>
    </xf>
    <xf numFmtId="166" fontId="3" fillId="0" borderId="5" xfId="2" applyNumberFormat="1" applyFont="1" applyFill="1" applyBorder="1" applyAlignment="1">
      <alignment vertical="center"/>
    </xf>
    <xf numFmtId="49" fontId="8" fillId="0" borderId="18" xfId="8" applyNumberFormat="1" applyFont="1" applyBorder="1" applyAlignment="1">
      <alignment horizontal="center" vertical="center"/>
    </xf>
    <xf numFmtId="0" fontId="3" fillId="7" borderId="5" xfId="8" applyFill="1" applyBorder="1" applyAlignment="1">
      <alignment horizontal="center" vertical="center"/>
    </xf>
    <xf numFmtId="49" fontId="3" fillId="0" borderId="5" xfId="8" applyNumberFormat="1" applyBorder="1" applyAlignment="1">
      <alignment vertical="center" wrapText="1"/>
    </xf>
    <xf numFmtId="49" fontId="8" fillId="0" borderId="5" xfId="8" applyNumberFormat="1" applyFont="1" applyBorder="1" applyAlignment="1">
      <alignment horizontal="center" vertical="center" wrapText="1"/>
    </xf>
    <xf numFmtId="165" fontId="8" fillId="0" borderId="5" xfId="8" applyNumberFormat="1" applyFont="1" applyBorder="1" applyAlignment="1">
      <alignment horizontal="center" vertical="center"/>
    </xf>
    <xf numFmtId="164" fontId="0" fillId="0" borderId="0" xfId="1" applyFont="1"/>
    <xf numFmtId="164" fontId="3" fillId="0" borderId="5" xfId="2" applyFont="1" applyFill="1" applyBorder="1" applyAlignment="1">
      <alignment horizontal="center" vertical="center"/>
    </xf>
    <xf numFmtId="2" fontId="17" fillId="0" borderId="0" xfId="0" applyNumberFormat="1" applyFont="1" applyAlignment="1">
      <alignment horizontal="left"/>
    </xf>
    <xf numFmtId="0" fontId="18" fillId="0" borderId="0" xfId="0" applyFont="1"/>
    <xf numFmtId="0" fontId="3" fillId="0" borderId="0" xfId="0" applyFont="1"/>
    <xf numFmtId="49" fontId="2" fillId="0" borderId="5" xfId="8" applyNumberFormat="1" applyFont="1" applyBorder="1" applyAlignment="1">
      <alignment horizontal="center" vertical="center"/>
    </xf>
    <xf numFmtId="49" fontId="2" fillId="7" borderId="5" xfId="8" applyNumberFormat="1" applyFont="1" applyFill="1" applyBorder="1" applyAlignment="1">
      <alignment vertical="center"/>
    </xf>
    <xf numFmtId="0" fontId="0" fillId="0" borderId="2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2" fillId="0" borderId="5" xfId="8" applyNumberFormat="1" applyFont="1" applyBorder="1" applyAlignment="1">
      <alignment horizontal="center" vertical="center" wrapText="1"/>
    </xf>
    <xf numFmtId="49" fontId="2" fillId="7" borderId="5" xfId="8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4" borderId="1" xfId="0" applyNumberFormat="1" applyFont="1" applyFill="1" applyBorder="1" applyAlignment="1">
      <alignment vertical="center" wrapText="1"/>
    </xf>
    <xf numFmtId="165" fontId="2" fillId="0" borderId="5" xfId="8" applyNumberFormat="1" applyFont="1" applyBorder="1" applyAlignment="1">
      <alignment horizontal="center" vertical="center"/>
    </xf>
    <xf numFmtId="49" fontId="2" fillId="7" borderId="5" xfId="8" applyNumberFormat="1" applyFont="1" applyFill="1" applyBorder="1" applyAlignment="1">
      <alignment horizontal="center" vertical="center"/>
    </xf>
    <xf numFmtId="49" fontId="2" fillId="0" borderId="5" xfId="8" applyNumberFormat="1" applyFont="1" applyBorder="1" applyAlignment="1">
      <alignment vertical="center" wrapText="1"/>
    </xf>
    <xf numFmtId="166" fontId="2" fillId="0" borderId="5" xfId="2" applyNumberFormat="1" applyFont="1" applyFill="1" applyBorder="1" applyAlignment="1">
      <alignment vertical="center"/>
    </xf>
    <xf numFmtId="0" fontId="2" fillId="0" borderId="0" xfId="8" applyFont="1" applyAlignment="1">
      <alignment vertical="center"/>
    </xf>
    <xf numFmtId="49" fontId="2" fillId="0" borderId="15" xfId="8" applyNumberFormat="1" applyFont="1" applyBorder="1" applyAlignment="1">
      <alignment horizontal="center" vertical="center"/>
    </xf>
    <xf numFmtId="165" fontId="2" fillId="0" borderId="15" xfId="8" applyNumberFormat="1" applyFont="1" applyBorder="1" applyAlignment="1">
      <alignment horizontal="center" vertical="center"/>
    </xf>
    <xf numFmtId="165" fontId="2" fillId="0" borderId="5" xfId="8" applyNumberFormat="1" applyFont="1" applyBorder="1" applyAlignment="1">
      <alignment horizontal="center" vertical="center" wrapText="1"/>
    </xf>
    <xf numFmtId="49" fontId="2" fillId="7" borderId="15" xfId="8" applyNumberFormat="1" applyFont="1" applyFill="1" applyBorder="1" applyAlignment="1">
      <alignment horizontal="center" vertical="center"/>
    </xf>
    <xf numFmtId="0" fontId="2" fillId="7" borderId="5" xfId="8" applyFont="1" applyFill="1" applyBorder="1" applyAlignment="1">
      <alignment horizontal="center" vertical="center"/>
    </xf>
    <xf numFmtId="49" fontId="2" fillId="0" borderId="15" xfId="8" applyNumberFormat="1" applyFont="1" applyBorder="1" applyAlignment="1">
      <alignment horizontal="center" vertical="center" wrapText="1"/>
    </xf>
    <xf numFmtId="0" fontId="2" fillId="0" borderId="5" xfId="8" applyFont="1" applyBorder="1" applyAlignment="1">
      <alignment horizontal="center" vertical="center"/>
    </xf>
    <xf numFmtId="167" fontId="2" fillId="0" borderId="5" xfId="2" applyNumberFormat="1" applyFont="1" applyFill="1" applyBorder="1" applyAlignment="1">
      <alignment horizontal="center" vertical="center"/>
    </xf>
    <xf numFmtId="49" fontId="2" fillId="7" borderId="15" xfId="8" applyNumberFormat="1" applyFont="1" applyFill="1" applyBorder="1" applyAlignment="1">
      <alignment vertical="center"/>
    </xf>
    <xf numFmtId="49" fontId="2" fillId="0" borderId="15" xfId="8" applyNumberFormat="1" applyFont="1" applyBorder="1" applyAlignment="1">
      <alignment vertical="center" wrapText="1"/>
    </xf>
    <xf numFmtId="166" fontId="2" fillId="0" borderId="15" xfId="2" applyNumberFormat="1" applyFont="1" applyFill="1" applyBorder="1" applyAlignment="1">
      <alignment vertical="center"/>
    </xf>
    <xf numFmtId="49" fontId="2" fillId="0" borderId="18" xfId="8" applyNumberFormat="1" applyFont="1" applyBorder="1" applyAlignment="1">
      <alignment horizontal="center" vertical="center"/>
    </xf>
    <xf numFmtId="49" fontId="2" fillId="0" borderId="5" xfId="8" applyNumberFormat="1" applyFont="1" applyBorder="1" applyAlignment="1">
      <alignment vertical="center"/>
    </xf>
    <xf numFmtId="0" fontId="2" fillId="0" borderId="5" xfId="8" applyFont="1" applyBorder="1" applyAlignment="1">
      <alignment vertical="center"/>
    </xf>
    <xf numFmtId="49" fontId="2" fillId="0" borderId="5" xfId="0" applyNumberFormat="1" applyFont="1" applyBorder="1" applyAlignment="1">
      <alignment horizontal="center" vertical="center"/>
    </xf>
    <xf numFmtId="167" fontId="2" fillId="0" borderId="5" xfId="2" applyNumberFormat="1" applyFont="1" applyFill="1" applyBorder="1" applyAlignment="1">
      <alignment vertical="center"/>
    </xf>
    <xf numFmtId="0" fontId="2" fillId="0" borderId="0" xfId="8" applyFont="1" applyAlignment="1">
      <alignment vertical="center" wrapText="1"/>
    </xf>
    <xf numFmtId="0" fontId="2" fillId="0" borderId="0" xfId="0" applyFont="1" applyAlignment="1">
      <alignment vertical="center"/>
    </xf>
    <xf numFmtId="165" fontId="2" fillId="0" borderId="0" xfId="8" applyNumberFormat="1" applyFont="1" applyAlignment="1">
      <alignment horizontal="center" vertical="center" wrapText="1"/>
    </xf>
    <xf numFmtId="0" fontId="2" fillId="0" borderId="0" xfId="8" applyFont="1" applyAlignment="1">
      <alignment horizontal="center" vertical="center"/>
    </xf>
    <xf numFmtId="49" fontId="2" fillId="0" borderId="0" xfId="8" applyNumberFormat="1" applyFont="1" applyAlignment="1">
      <alignment vertical="center"/>
    </xf>
    <xf numFmtId="49" fontId="2" fillId="0" borderId="0" xfId="8" applyNumberFormat="1" applyFont="1" applyAlignment="1">
      <alignment horizontal="center" vertical="center"/>
    </xf>
    <xf numFmtId="0" fontId="26" fillId="0" borderId="0" xfId="8" applyFont="1" applyAlignment="1">
      <alignment vertical="center"/>
    </xf>
    <xf numFmtId="0" fontId="25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164" fontId="2" fillId="0" borderId="5" xfId="2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9" fillId="0" borderId="0" xfId="9" applyFont="1" applyAlignment="1">
      <alignment vertical="center"/>
    </xf>
    <xf numFmtId="49" fontId="9" fillId="0" borderId="0" xfId="9" applyNumberFormat="1" applyFont="1" applyAlignment="1">
      <alignment horizontal="center" vertical="center"/>
    </xf>
    <xf numFmtId="49" fontId="9" fillId="0" borderId="0" xfId="9" applyNumberFormat="1" applyFont="1" applyAlignment="1">
      <alignment vertical="center"/>
    </xf>
    <xf numFmtId="165" fontId="9" fillId="0" borderId="0" xfId="9" applyNumberFormat="1" applyFont="1" applyAlignment="1">
      <alignment horizontal="left" vertical="center"/>
    </xf>
    <xf numFmtId="0" fontId="28" fillId="0" borderId="0" xfId="9" applyFont="1" applyAlignment="1">
      <alignment horizontal="center" vertical="center"/>
    </xf>
    <xf numFmtId="0" fontId="10" fillId="0" borderId="5" xfId="9" applyFont="1" applyBorder="1" applyAlignment="1">
      <alignment horizontal="center" vertical="center"/>
    </xf>
    <xf numFmtId="49" fontId="11" fillId="0" borderId="1" xfId="9" applyNumberFormat="1" applyFont="1" applyBorder="1" applyAlignment="1">
      <alignment vertical="center"/>
    </xf>
    <xf numFmtId="49" fontId="11" fillId="0" borderId="9" xfId="9" applyNumberFormat="1" applyFont="1" applyBorder="1" applyAlignment="1">
      <alignment vertical="center"/>
    </xf>
    <xf numFmtId="49" fontId="11" fillId="0" borderId="14" xfId="9" applyNumberFormat="1" applyFont="1" applyBorder="1" applyAlignment="1">
      <alignment vertical="center"/>
    </xf>
    <xf numFmtId="49" fontId="11" fillId="0" borderId="5" xfId="9" applyNumberFormat="1" applyFont="1" applyBorder="1" applyAlignment="1">
      <alignment horizontal="left" vertical="center"/>
    </xf>
    <xf numFmtId="49" fontId="11" fillId="0" borderId="1" xfId="9" applyNumberFormat="1" applyFont="1" applyBorder="1" applyAlignment="1">
      <alignment horizontal="center" vertical="center"/>
    </xf>
    <xf numFmtId="0" fontId="11" fillId="0" borderId="0" xfId="9" applyFont="1" applyAlignment="1">
      <alignment vertical="center"/>
    </xf>
    <xf numFmtId="0" fontId="2" fillId="0" borderId="5" xfId="9" applyBorder="1" applyAlignment="1">
      <alignment horizontal="center" vertical="center"/>
    </xf>
    <xf numFmtId="49" fontId="2" fillId="0" borderId="1" xfId="9" applyNumberFormat="1" applyBorder="1" applyAlignment="1">
      <alignment vertical="center"/>
    </xf>
    <xf numFmtId="49" fontId="2" fillId="0" borderId="9" xfId="9" applyNumberFormat="1" applyBorder="1" applyAlignment="1">
      <alignment vertical="center"/>
    </xf>
    <xf numFmtId="164" fontId="2" fillId="0" borderId="10" xfId="10" applyFont="1" applyFill="1" applyBorder="1" applyAlignment="1">
      <alignment horizontal="center" vertical="center" wrapText="1"/>
    </xf>
    <xf numFmtId="49" fontId="2" fillId="0" borderId="5" xfId="9" applyNumberFormat="1" applyBorder="1" applyAlignment="1">
      <alignment horizontal="left" vertical="center"/>
    </xf>
    <xf numFmtId="49" fontId="2" fillId="0" borderId="1" xfId="9" applyNumberFormat="1" applyBorder="1" applyAlignment="1">
      <alignment horizontal="center" vertical="center"/>
    </xf>
    <xf numFmtId="0" fontId="2" fillId="0" borderId="0" xfId="9" applyAlignment="1">
      <alignment vertical="center"/>
    </xf>
    <xf numFmtId="49" fontId="2" fillId="0" borderId="5" xfId="9" applyNumberFormat="1" applyBorder="1" applyAlignment="1">
      <alignment vertical="center"/>
    </xf>
    <xf numFmtId="49" fontId="2" fillId="0" borderId="5" xfId="9" applyNumberFormat="1" applyBorder="1" applyAlignment="1">
      <alignment horizontal="center" vertical="center"/>
    </xf>
    <xf numFmtId="49" fontId="2" fillId="0" borderId="5" xfId="9" applyNumberFormat="1" applyBorder="1" applyAlignment="1">
      <alignment horizontal="left" vertical="center" wrapText="1"/>
    </xf>
    <xf numFmtId="0" fontId="29" fillId="0" borderId="0" xfId="11" applyFont="1" applyAlignment="1">
      <alignment horizontal="center" vertical="center" wrapText="1"/>
    </xf>
    <xf numFmtId="49" fontId="2" fillId="0" borderId="3" xfId="9" applyNumberFormat="1" applyBorder="1" applyAlignment="1">
      <alignment vertical="center"/>
    </xf>
    <xf numFmtId="49" fontId="2" fillId="0" borderId="12" xfId="9" applyNumberFormat="1" applyBorder="1" applyAlignment="1">
      <alignment vertical="center"/>
    </xf>
    <xf numFmtId="0" fontId="11" fillId="0" borderId="5" xfId="9" applyFont="1" applyBorder="1" applyAlignment="1">
      <alignment horizontal="center" vertical="center"/>
    </xf>
    <xf numFmtId="0" fontId="2" fillId="0" borderId="0" xfId="9" applyAlignment="1">
      <alignment horizontal="center" vertical="center"/>
    </xf>
    <xf numFmtId="0" fontId="2" fillId="0" borderId="5" xfId="9" applyBorder="1" applyAlignment="1">
      <alignment vertical="center"/>
    </xf>
    <xf numFmtId="164" fontId="2" fillId="0" borderId="10" xfId="12" applyFont="1" applyFill="1" applyBorder="1" applyAlignment="1">
      <alignment horizontal="center" vertical="center" wrapText="1"/>
    </xf>
    <xf numFmtId="49" fontId="2" fillId="0" borderId="5" xfId="9" quotePrefix="1" applyNumberFormat="1" applyBorder="1" applyAlignment="1">
      <alignment horizontal="center" vertical="center"/>
    </xf>
    <xf numFmtId="164" fontId="2" fillId="0" borderId="5" xfId="10" applyFont="1" applyFill="1" applyBorder="1" applyAlignment="1">
      <alignment horizontal="center" vertical="center" wrapText="1"/>
    </xf>
    <xf numFmtId="49" fontId="2" fillId="0" borderId="1" xfId="9" quotePrefix="1" applyNumberFormat="1" applyBorder="1" applyAlignment="1">
      <alignment horizontal="center" vertical="center"/>
    </xf>
    <xf numFmtId="49" fontId="11" fillId="6" borderId="11" xfId="9" applyNumberFormat="1" applyFont="1" applyFill="1" applyBorder="1" applyAlignment="1">
      <alignment horizontal="right" vertical="center"/>
    </xf>
    <xf numFmtId="164" fontId="11" fillId="6" borderId="11" xfId="12" applyFont="1" applyFill="1" applyBorder="1" applyAlignment="1">
      <alignment horizontal="right" vertical="center"/>
    </xf>
    <xf numFmtId="0" fontId="2" fillId="0" borderId="0" xfId="9" applyAlignment="1">
      <alignment horizontal="left" vertical="center"/>
    </xf>
    <xf numFmtId="167" fontId="2" fillId="0" borderId="10" xfId="10" applyNumberFormat="1" applyFont="1" applyFill="1" applyBorder="1" applyAlignment="1">
      <alignment horizontal="center" vertical="center" wrapText="1"/>
    </xf>
    <xf numFmtId="49" fontId="2" fillId="0" borderId="1" xfId="9" quotePrefix="1" applyNumberFormat="1" applyBorder="1" applyAlignment="1">
      <alignment vertical="center"/>
    </xf>
    <xf numFmtId="167" fontId="11" fillId="6" borderId="11" xfId="9" applyNumberFormat="1" applyFont="1" applyFill="1" applyBorder="1" applyAlignment="1">
      <alignment horizontal="right" vertical="center"/>
    </xf>
    <xf numFmtId="0" fontId="9" fillId="0" borderId="0" xfId="9" applyFont="1" applyAlignment="1">
      <alignment horizontal="left" vertical="center"/>
    </xf>
    <xf numFmtId="165" fontId="9" fillId="0" borderId="0" xfId="9" applyNumberFormat="1" applyFont="1" applyAlignment="1">
      <alignment horizontal="center" vertical="center"/>
    </xf>
    <xf numFmtId="0" fontId="11" fillId="0" borderId="5" xfId="9" applyFont="1" applyBorder="1" applyAlignment="1">
      <alignment horizontal="left" vertical="center"/>
    </xf>
    <xf numFmtId="4" fontId="2" fillId="0" borderId="5" xfId="0" applyNumberFormat="1" applyFont="1" applyBorder="1" applyAlignment="1">
      <alignment horizontal="center" vertical="center"/>
    </xf>
    <xf numFmtId="0" fontId="8" fillId="0" borderId="5" xfId="9" applyFont="1" applyBorder="1" applyAlignment="1">
      <alignment horizontal="center" vertical="center"/>
    </xf>
    <xf numFmtId="0" fontId="2" fillId="0" borderId="5" xfId="9" applyBorder="1" applyAlignment="1">
      <alignment horizontal="left" vertical="center"/>
    </xf>
    <xf numFmtId="164" fontId="8" fillId="0" borderId="5" xfId="1" applyFont="1" applyFill="1" applyBorder="1" applyAlignment="1">
      <alignment vertical="center"/>
    </xf>
    <xf numFmtId="164" fontId="2" fillId="0" borderId="5" xfId="1" applyFont="1" applyFill="1" applyBorder="1" applyAlignment="1">
      <alignment horizontal="center" vertical="center"/>
    </xf>
    <xf numFmtId="164" fontId="11" fillId="6" borderId="8" xfId="1" applyFont="1" applyFill="1" applyBorder="1" applyAlignment="1">
      <alignment horizontal="right" vertical="center"/>
    </xf>
    <xf numFmtId="164" fontId="2" fillId="6" borderId="8" xfId="1" applyFont="1" applyFill="1" applyBorder="1" applyAlignment="1">
      <alignment horizontal="center" vertical="center"/>
    </xf>
    <xf numFmtId="164" fontId="11" fillId="6" borderId="11" xfId="9" applyNumberFormat="1" applyFont="1" applyFill="1" applyBorder="1" applyAlignment="1">
      <alignment horizontal="right" vertical="center"/>
    </xf>
    <xf numFmtId="164" fontId="11" fillId="0" borderId="10" xfId="10" applyFont="1" applyFill="1" applyBorder="1" applyAlignment="1">
      <alignment horizontal="left" vertical="center"/>
    </xf>
    <xf numFmtId="165" fontId="28" fillId="0" borderId="0" xfId="9" applyNumberFormat="1" applyFont="1" applyAlignment="1">
      <alignment horizontal="center" vertical="center"/>
    </xf>
    <xf numFmtId="49" fontId="11" fillId="0" borderId="7" xfId="9" applyNumberFormat="1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167" fontId="2" fillId="0" borderId="5" xfId="0" applyNumberFormat="1" applyFont="1" applyBorder="1" applyAlignment="1">
      <alignment horizontal="center" vertical="center"/>
    </xf>
    <xf numFmtId="167" fontId="2" fillId="6" borderId="11" xfId="9" applyNumberFormat="1" applyFill="1" applyBorder="1" applyAlignment="1">
      <alignment horizontal="center" vertical="center"/>
    </xf>
    <xf numFmtId="49" fontId="11" fillId="0" borderId="5" xfId="9" applyNumberFormat="1" applyFont="1" applyBorder="1" applyAlignment="1">
      <alignment vertical="center"/>
    </xf>
    <xf numFmtId="167" fontId="8" fillId="0" borderId="5" xfId="13" applyNumberFormat="1" applyFont="1" applyFill="1" applyBorder="1" applyAlignment="1">
      <alignment vertical="center"/>
    </xf>
    <xf numFmtId="167" fontId="8" fillId="0" borderId="5" xfId="13" applyNumberFormat="1" applyFont="1" applyBorder="1" applyAlignment="1">
      <alignment vertical="center"/>
    </xf>
    <xf numFmtId="167" fontId="11" fillId="6" borderId="11" xfId="9" applyNumberFormat="1" applyFont="1" applyFill="1" applyBorder="1" applyAlignment="1">
      <alignment horizontal="center" vertical="center"/>
    </xf>
    <xf numFmtId="164" fontId="8" fillId="0" borderId="5" xfId="12" applyFont="1" applyFill="1" applyBorder="1" applyAlignment="1">
      <alignment vertical="center"/>
    </xf>
    <xf numFmtId="164" fontId="2" fillId="0" borderId="5" xfId="12" applyFont="1" applyFill="1" applyBorder="1" applyAlignment="1">
      <alignment horizontal="center" vertical="center"/>
    </xf>
    <xf numFmtId="164" fontId="2" fillId="6" borderId="11" xfId="12" applyFont="1" applyFill="1" applyBorder="1" applyAlignment="1">
      <alignment horizontal="center" vertical="center"/>
    </xf>
    <xf numFmtId="0" fontId="8" fillId="0" borderId="6" xfId="9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0" borderId="6" xfId="9" applyBorder="1" applyAlignment="1">
      <alignment horizontal="left" vertical="center"/>
    </xf>
    <xf numFmtId="164" fontId="8" fillId="0" borderId="6" xfId="1" applyFont="1" applyFill="1" applyBorder="1" applyAlignment="1">
      <alignment vertical="center"/>
    </xf>
    <xf numFmtId="164" fontId="2" fillId="0" borderId="6" xfId="1" applyFont="1" applyFill="1" applyBorder="1" applyAlignment="1">
      <alignment horizontal="center" vertical="center"/>
    </xf>
    <xf numFmtId="0" fontId="8" fillId="0" borderId="10" xfId="9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center" vertical="center"/>
    </xf>
    <xf numFmtId="0" fontId="2" fillId="0" borderId="28" xfId="9" applyBorder="1" applyAlignment="1">
      <alignment horizontal="left" vertical="center"/>
    </xf>
    <xf numFmtId="164" fontId="8" fillId="0" borderId="28" xfId="1" applyFont="1" applyFill="1" applyBorder="1" applyAlignment="1">
      <alignment vertical="center"/>
    </xf>
    <xf numFmtId="164" fontId="2" fillId="0" borderId="18" xfId="1" applyFont="1" applyFill="1" applyBorder="1" applyAlignment="1">
      <alignment horizontal="center" vertical="center"/>
    </xf>
    <xf numFmtId="0" fontId="11" fillId="0" borderId="15" xfId="9" applyFont="1" applyBorder="1" applyAlignment="1">
      <alignment horizontal="center" vertical="center"/>
    </xf>
    <xf numFmtId="49" fontId="11" fillId="0" borderId="15" xfId="9" applyNumberFormat="1" applyFont="1" applyBorder="1" applyAlignment="1">
      <alignment vertical="center"/>
    </xf>
    <xf numFmtId="0" fontId="2" fillId="0" borderId="15" xfId="9" applyBorder="1" applyAlignment="1">
      <alignment horizontal="center" vertical="center"/>
    </xf>
    <xf numFmtId="49" fontId="11" fillId="0" borderId="10" xfId="9" applyNumberFormat="1" applyFont="1" applyBorder="1" applyAlignment="1">
      <alignment horizontal="left" vertical="center"/>
    </xf>
    <xf numFmtId="49" fontId="11" fillId="0" borderId="18" xfId="9" applyNumberFormat="1" applyFont="1" applyBorder="1" applyAlignment="1">
      <alignment horizontal="left" vertical="center"/>
    </xf>
    <xf numFmtId="0" fontId="23" fillId="0" borderId="0" xfId="0" applyFont="1" applyAlignment="1">
      <alignment horizontal="center" vertical="center" wrapText="1"/>
    </xf>
    <xf numFmtId="164" fontId="23" fillId="0" borderId="5" xfId="13" applyFont="1" applyBorder="1" applyAlignment="1">
      <alignment horizontal="center" vertical="center" wrapText="1"/>
    </xf>
    <xf numFmtId="49" fontId="11" fillId="0" borderId="14" xfId="9" applyNumberFormat="1" applyFont="1" applyBorder="1" applyAlignment="1">
      <alignment horizontal="center" vertical="center"/>
    </xf>
    <xf numFmtId="49" fontId="11" fillId="0" borderId="17" xfId="9" applyNumberFormat="1" applyFont="1" applyBorder="1" applyAlignment="1">
      <alignment vertical="center"/>
    </xf>
    <xf numFmtId="49" fontId="11" fillId="0" borderId="5" xfId="9" applyNumberFormat="1" applyFont="1" applyBorder="1" applyAlignment="1">
      <alignment horizontal="center" vertical="center"/>
    </xf>
    <xf numFmtId="164" fontId="2" fillId="0" borderId="10" xfId="10" applyFont="1" applyBorder="1" applyAlignment="1">
      <alignment horizontal="center" vertical="center" wrapText="1"/>
    </xf>
    <xf numFmtId="49" fontId="2" fillId="0" borderId="17" xfId="9" applyNumberFormat="1" applyBorder="1" applyAlignment="1">
      <alignment vertical="center"/>
    </xf>
    <xf numFmtId="164" fontId="2" fillId="0" borderId="5" xfId="10" applyFont="1" applyBorder="1" applyAlignment="1">
      <alignment horizontal="center" vertical="center" wrapText="1"/>
    </xf>
    <xf numFmtId="164" fontId="11" fillId="0" borderId="0" xfId="10" applyFont="1" applyBorder="1" applyAlignment="1">
      <alignment horizontal="center" vertical="center" wrapText="1"/>
    </xf>
    <xf numFmtId="0" fontId="11" fillId="0" borderId="5" xfId="9" applyFont="1" applyBorder="1" applyAlignment="1">
      <alignment vertical="center"/>
    </xf>
    <xf numFmtId="164" fontId="8" fillId="0" borderId="5" xfId="12" applyFont="1" applyBorder="1" applyAlignment="1">
      <alignment vertical="center"/>
    </xf>
    <xf numFmtId="164" fontId="2" fillId="0" borderId="5" xfId="12" applyFont="1" applyBorder="1" applyAlignment="1">
      <alignment horizontal="center" vertical="center"/>
    </xf>
    <xf numFmtId="49" fontId="11" fillId="6" borderId="8" xfId="9" applyNumberFormat="1" applyFont="1" applyFill="1" applyBorder="1" applyAlignment="1">
      <alignment horizontal="right" vertical="center"/>
    </xf>
    <xf numFmtId="164" fontId="11" fillId="6" borderId="8" xfId="9" applyNumberFormat="1" applyFont="1" applyFill="1" applyBorder="1" applyAlignment="1">
      <alignment horizontal="right" vertical="center"/>
    </xf>
    <xf numFmtId="49" fontId="11" fillId="6" borderId="5" xfId="9" applyNumberFormat="1" applyFont="1" applyFill="1" applyBorder="1" applyAlignment="1">
      <alignment horizontal="right" vertical="center"/>
    </xf>
    <xf numFmtId="167" fontId="11" fillId="6" borderId="5" xfId="9" applyNumberFormat="1" applyFont="1" applyFill="1" applyBorder="1" applyAlignment="1">
      <alignment horizontal="right" vertical="center"/>
    </xf>
    <xf numFmtId="49" fontId="11" fillId="0" borderId="5" xfId="9" applyNumberFormat="1" applyFont="1" applyBorder="1" applyAlignment="1">
      <alignment horizontal="right" vertical="center"/>
    </xf>
    <xf numFmtId="167" fontId="11" fillId="0" borderId="5" xfId="9" applyNumberFormat="1" applyFont="1" applyBorder="1" applyAlignment="1">
      <alignment horizontal="right" vertical="center"/>
    </xf>
    <xf numFmtId="164" fontId="11" fillId="0" borderId="5" xfId="10" applyFont="1" applyFill="1" applyBorder="1" applyAlignment="1">
      <alignment horizontal="left" vertical="center"/>
    </xf>
    <xf numFmtId="49" fontId="2" fillId="0" borderId="0" xfId="8" applyNumberFormat="1" applyFont="1" applyAlignment="1">
      <alignment horizontal="center" vertical="center" wrapText="1"/>
    </xf>
    <xf numFmtId="167" fontId="3" fillId="0" borderId="5" xfId="2" applyNumberFormat="1" applyFont="1" applyFill="1" applyBorder="1" applyAlignment="1">
      <alignment horizontal="center" vertical="center" wrapText="1"/>
    </xf>
    <xf numFmtId="0" fontId="2" fillId="0" borderId="5" xfId="8" applyFont="1" applyBorder="1" applyAlignment="1">
      <alignment vertical="center" wrapText="1"/>
    </xf>
    <xf numFmtId="16" fontId="2" fillId="0" borderId="5" xfId="8" applyNumberFormat="1" applyFont="1" applyBorder="1" applyAlignment="1">
      <alignment horizontal="center" vertical="center"/>
    </xf>
    <xf numFmtId="0" fontId="2" fillId="0" borderId="0" xfId="0" applyFont="1"/>
    <xf numFmtId="0" fontId="2" fillId="9" borderId="0" xfId="0" applyFont="1" applyFill="1"/>
    <xf numFmtId="0" fontId="2" fillId="9" borderId="0" xfId="8" applyFont="1" applyFill="1" applyAlignment="1">
      <alignment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2" applyFont="1" applyFill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49" fontId="2" fillId="0" borderId="5" xfId="0" applyNumberFormat="1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5" xfId="9" applyBorder="1" applyAlignment="1">
      <alignment vertical="center" wrapText="1"/>
    </xf>
    <xf numFmtId="0" fontId="11" fillId="10" borderId="5" xfId="8" applyFont="1" applyFill="1" applyBorder="1" applyAlignment="1">
      <alignment horizontal="center" vertical="center"/>
    </xf>
    <xf numFmtId="49" fontId="11" fillId="10" borderId="1" xfId="8" applyNumberFormat="1" applyFont="1" applyFill="1" applyBorder="1" applyAlignment="1">
      <alignment vertical="center"/>
    </xf>
    <xf numFmtId="49" fontId="11" fillId="10" borderId="17" xfId="8" applyNumberFormat="1" applyFont="1" applyFill="1" applyBorder="1" applyAlignment="1">
      <alignment horizontal="center" vertical="center"/>
    </xf>
    <xf numFmtId="49" fontId="11" fillId="10" borderId="5" xfId="8" applyNumberFormat="1" applyFont="1" applyFill="1" applyBorder="1" applyAlignment="1">
      <alignment vertical="center"/>
    </xf>
    <xf numFmtId="0" fontId="9" fillId="10" borderId="5" xfId="8" applyFont="1" applyFill="1" applyBorder="1" applyAlignment="1">
      <alignment vertical="center"/>
    </xf>
    <xf numFmtId="165" fontId="9" fillId="10" borderId="10" xfId="8" applyNumberFormat="1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vertical="center" wrapText="1"/>
    </xf>
    <xf numFmtId="164" fontId="11" fillId="10" borderId="5" xfId="3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vertical="center" wrapText="1"/>
    </xf>
    <xf numFmtId="49" fontId="11" fillId="10" borderId="16" xfId="8" applyNumberFormat="1" applyFont="1" applyFill="1" applyBorder="1" applyAlignment="1">
      <alignment vertical="center"/>
    </xf>
    <xf numFmtId="49" fontId="11" fillId="10" borderId="29" xfId="8" applyNumberFormat="1" applyFont="1" applyFill="1" applyBorder="1" applyAlignment="1">
      <alignment horizontal="center" vertical="center"/>
    </xf>
    <xf numFmtId="49" fontId="11" fillId="10" borderId="15" xfId="8" applyNumberFormat="1" applyFont="1" applyFill="1" applyBorder="1" applyAlignment="1">
      <alignment vertical="center"/>
    </xf>
    <xf numFmtId="0" fontId="9" fillId="10" borderId="15" xfId="8" applyFont="1" applyFill="1" applyBorder="1" applyAlignment="1">
      <alignment vertical="center"/>
    </xf>
    <xf numFmtId="165" fontId="9" fillId="10" borderId="31" xfId="8" applyNumberFormat="1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vertical="center"/>
    </xf>
    <xf numFmtId="164" fontId="11" fillId="10" borderId="5" xfId="3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vertical="center"/>
    </xf>
    <xf numFmtId="0" fontId="11" fillId="10" borderId="6" xfId="8" applyFont="1" applyFill="1" applyBorder="1" applyAlignment="1">
      <alignment horizontal="center" vertical="center"/>
    </xf>
    <xf numFmtId="49" fontId="11" fillId="10" borderId="13" xfId="8" applyNumberFormat="1" applyFont="1" applyFill="1" applyBorder="1" applyAlignment="1">
      <alignment vertical="center"/>
    </xf>
    <xf numFmtId="49" fontId="11" fillId="10" borderId="30" xfId="8" applyNumberFormat="1" applyFont="1" applyFill="1" applyBorder="1" applyAlignment="1">
      <alignment horizontal="center" vertical="center"/>
    </xf>
    <xf numFmtId="49" fontId="11" fillId="10" borderId="6" xfId="8" applyNumberFormat="1" applyFont="1" applyFill="1" applyBorder="1" applyAlignment="1">
      <alignment vertical="center"/>
    </xf>
    <xf numFmtId="0" fontId="2" fillId="10" borderId="5" xfId="8" applyFont="1" applyFill="1" applyBorder="1" applyAlignment="1">
      <alignment horizontal="center" vertical="center"/>
    </xf>
    <xf numFmtId="49" fontId="2" fillId="10" borderId="5" xfId="8" applyNumberFormat="1" applyFont="1" applyFill="1" applyBorder="1" applyAlignment="1">
      <alignment vertical="center"/>
    </xf>
    <xf numFmtId="49" fontId="2" fillId="10" borderId="5" xfId="8" applyNumberFormat="1" applyFont="1" applyFill="1" applyBorder="1" applyAlignment="1">
      <alignment horizontal="center" vertical="center"/>
    </xf>
    <xf numFmtId="0" fontId="2" fillId="0" borderId="6" xfId="9" applyBorder="1" applyAlignment="1">
      <alignment horizontal="center" vertical="center"/>
    </xf>
    <xf numFmtId="49" fontId="2" fillId="0" borderId="33" xfId="9" applyNumberFormat="1" applyBorder="1" applyAlignment="1">
      <alignment vertical="center"/>
    </xf>
    <xf numFmtId="164" fontId="2" fillId="0" borderId="26" xfId="10" applyFont="1" applyBorder="1" applyAlignment="1">
      <alignment horizontal="center" vertical="center" wrapText="1"/>
    </xf>
    <xf numFmtId="49" fontId="2" fillId="0" borderId="6" xfId="9" applyNumberFormat="1" applyBorder="1" applyAlignment="1">
      <alignment vertical="center"/>
    </xf>
    <xf numFmtId="164" fontId="11" fillId="0" borderId="5" xfId="10" applyFont="1" applyBorder="1" applyAlignment="1">
      <alignment horizontal="center" vertical="center" wrapText="1"/>
    </xf>
    <xf numFmtId="49" fontId="11" fillId="0" borderId="6" xfId="9" applyNumberFormat="1" applyFont="1" applyBorder="1" applyAlignment="1">
      <alignment vertical="center"/>
    </xf>
    <xf numFmtId="164" fontId="2" fillId="0" borderId="6" xfId="10" applyFont="1" applyBorder="1" applyAlignment="1">
      <alignment horizontal="center" vertical="center" wrapText="1"/>
    </xf>
    <xf numFmtId="0" fontId="26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49" fontId="11" fillId="0" borderId="0" xfId="9" applyNumberFormat="1" applyFont="1" applyAlignment="1">
      <alignment horizontal="left" vertical="center"/>
    </xf>
    <xf numFmtId="0" fontId="11" fillId="0" borderId="0" xfId="9" applyFont="1" applyAlignment="1">
      <alignment horizontal="left" vertical="center"/>
    </xf>
    <xf numFmtId="4" fontId="2" fillId="0" borderId="0" xfId="0" applyNumberFormat="1" applyFont="1" applyAlignment="1">
      <alignment horizontal="center" vertical="center"/>
    </xf>
    <xf numFmtId="0" fontId="8" fillId="0" borderId="0" xfId="9" applyFont="1" applyAlignment="1">
      <alignment horizontal="center" vertical="center"/>
    </xf>
    <xf numFmtId="164" fontId="11" fillId="0" borderId="0" xfId="12" applyFont="1" applyFill="1" applyBorder="1" applyAlignment="1">
      <alignment horizontal="right" vertical="center"/>
    </xf>
    <xf numFmtId="164" fontId="2" fillId="0" borderId="0" xfId="12" applyFont="1" applyFill="1" applyBorder="1" applyAlignment="1">
      <alignment horizontal="center" vertical="center"/>
    </xf>
    <xf numFmtId="49" fontId="11" fillId="0" borderId="0" xfId="9" applyNumberFormat="1" applyFont="1" applyAlignment="1">
      <alignment vertical="center"/>
    </xf>
    <xf numFmtId="0" fontId="8" fillId="0" borderId="5" xfId="0" applyFont="1" applyBorder="1" applyAlignment="1">
      <alignment horizontal="center" vertical="center" wrapText="1"/>
    </xf>
    <xf numFmtId="164" fontId="8" fillId="0" borderId="0" xfId="1" applyFont="1" applyFill="1" applyBorder="1" applyAlignment="1">
      <alignment vertical="center"/>
    </xf>
    <xf numFmtId="164" fontId="2" fillId="0" borderId="0" xfId="1" applyFont="1" applyFill="1" applyBorder="1" applyAlignment="1">
      <alignment horizontal="center" vertical="center"/>
    </xf>
    <xf numFmtId="49" fontId="11" fillId="0" borderId="0" xfId="9" applyNumberFormat="1" applyFont="1" applyAlignment="1">
      <alignment horizontal="right" vertical="center"/>
    </xf>
    <xf numFmtId="167" fontId="2" fillId="0" borderId="0" xfId="9" applyNumberFormat="1" applyAlignment="1">
      <alignment horizontal="center" vertical="center"/>
    </xf>
    <xf numFmtId="0" fontId="11" fillId="0" borderId="5" xfId="8" applyFont="1" applyBorder="1" applyAlignment="1">
      <alignment vertical="center"/>
    </xf>
    <xf numFmtId="0" fontId="2" fillId="0" borderId="5" xfId="0" applyFont="1" applyBorder="1"/>
    <xf numFmtId="0" fontId="3" fillId="11" borderId="5" xfId="8" applyFill="1" applyBorder="1" applyAlignment="1">
      <alignment horizontal="center" vertical="center"/>
    </xf>
    <xf numFmtId="0" fontId="2" fillId="11" borderId="5" xfId="0" applyFont="1" applyFill="1" applyBorder="1" applyAlignment="1">
      <alignment vertical="center"/>
    </xf>
    <xf numFmtId="164" fontId="2" fillId="11" borderId="5" xfId="2" applyFont="1" applyFill="1" applyBorder="1" applyAlignment="1">
      <alignment horizontal="left" vertical="center" wrapText="1"/>
    </xf>
    <xf numFmtId="49" fontId="2" fillId="11" borderId="5" xfId="0" applyNumberFormat="1" applyFont="1" applyFill="1" applyBorder="1" applyAlignment="1">
      <alignment vertical="center"/>
    </xf>
    <xf numFmtId="165" fontId="2" fillId="0" borderId="6" xfId="8" applyNumberFormat="1" applyFont="1" applyBorder="1" applyAlignment="1">
      <alignment horizontal="center" vertical="center"/>
    </xf>
    <xf numFmtId="49" fontId="2" fillId="7" borderId="6" xfId="8" applyNumberFormat="1" applyFont="1" applyFill="1" applyBorder="1" applyAlignment="1">
      <alignment vertical="center"/>
    </xf>
    <xf numFmtId="49" fontId="2" fillId="7" borderId="6" xfId="8" applyNumberFormat="1" applyFont="1" applyFill="1" applyBorder="1" applyAlignment="1">
      <alignment horizontal="center" vertical="center"/>
    </xf>
    <xf numFmtId="0" fontId="2" fillId="0" borderId="6" xfId="8" applyFont="1" applyBorder="1" applyAlignment="1">
      <alignment vertical="center" wrapText="1"/>
    </xf>
    <xf numFmtId="166" fontId="2" fillId="0" borderId="6" xfId="2" applyNumberFormat="1" applyFont="1" applyFill="1" applyBorder="1" applyAlignment="1">
      <alignment vertical="center"/>
    </xf>
    <xf numFmtId="166" fontId="2" fillId="0" borderId="5" xfId="2" applyNumberFormat="1" applyFont="1" applyFill="1" applyBorder="1" applyAlignment="1">
      <alignment horizontal="center" vertical="center"/>
    </xf>
    <xf numFmtId="49" fontId="2" fillId="7" borderId="5" xfId="8" applyNumberFormat="1" applyFont="1" applyFill="1" applyBorder="1" applyAlignment="1">
      <alignment horizontal="left" vertical="center"/>
    </xf>
    <xf numFmtId="0" fontId="2" fillId="0" borderId="5" xfId="8" applyFont="1" applyBorder="1" applyAlignment="1">
      <alignment horizontal="left" vertical="center" wrapText="1"/>
    </xf>
    <xf numFmtId="14" fontId="2" fillId="0" borderId="5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5" fontId="2" fillId="0" borderId="5" xfId="9" applyNumberFormat="1" applyBorder="1" applyAlignment="1">
      <alignment horizontal="center" vertical="center"/>
    </xf>
    <xf numFmtId="49" fontId="2" fillId="7" borderId="5" xfId="9" applyNumberFormat="1" applyFill="1" applyBorder="1" applyAlignment="1">
      <alignment vertical="center"/>
    </xf>
    <xf numFmtId="49" fontId="2" fillId="7" borderId="5" xfId="9" applyNumberFormat="1" applyFill="1" applyBorder="1" applyAlignment="1">
      <alignment horizontal="center" vertical="center"/>
    </xf>
    <xf numFmtId="49" fontId="2" fillId="0" borderId="5" xfId="9" applyNumberFormat="1" applyBorder="1" applyAlignment="1">
      <alignment vertical="center" wrapText="1"/>
    </xf>
    <xf numFmtId="2" fontId="9" fillId="0" borderId="0" xfId="9" applyNumberFormat="1" applyFont="1" applyAlignment="1">
      <alignment horizontal="left" vertical="center"/>
    </xf>
    <xf numFmtId="166" fontId="2" fillId="0" borderId="5" xfId="17" applyNumberFormat="1" applyFont="1" applyFill="1" applyBorder="1" applyAlignment="1">
      <alignment vertical="center"/>
    </xf>
    <xf numFmtId="49" fontId="2" fillId="0" borderId="0" xfId="9" applyNumberFormat="1" applyAlignment="1">
      <alignment horizontal="center" vertical="center"/>
    </xf>
    <xf numFmtId="49" fontId="2" fillId="0" borderId="0" xfId="9" applyNumberFormat="1" applyAlignment="1">
      <alignment vertical="center"/>
    </xf>
    <xf numFmtId="49" fontId="2" fillId="0" borderId="0" xfId="9" applyNumberFormat="1" applyAlignment="1">
      <alignment vertical="center" wrapText="1"/>
    </xf>
    <xf numFmtId="167" fontId="2" fillId="0" borderId="5" xfId="17" applyNumberFormat="1" applyFont="1" applyFill="1" applyBorder="1" applyAlignment="1">
      <alignment horizontal="center" vertical="center"/>
    </xf>
    <xf numFmtId="0" fontId="2" fillId="7" borderId="5" xfId="9" applyFill="1" applyBorder="1" applyAlignment="1">
      <alignment horizontal="center" vertical="center"/>
    </xf>
    <xf numFmtId="0" fontId="2" fillId="0" borderId="0" xfId="9"/>
    <xf numFmtId="49" fontId="2" fillId="0" borderId="5" xfId="9" applyNumberFormat="1" applyBorder="1" applyAlignment="1">
      <alignment horizontal="center" vertical="center" wrapText="1"/>
    </xf>
    <xf numFmtId="167" fontId="2" fillId="0" borderId="5" xfId="17" applyNumberFormat="1" applyFont="1" applyFill="1" applyBorder="1" applyAlignment="1">
      <alignment vertical="center"/>
    </xf>
    <xf numFmtId="49" fontId="2" fillId="8" borderId="5" xfId="9" applyNumberFormat="1" applyFill="1" applyBorder="1" applyAlignment="1">
      <alignment horizontal="center" vertical="center"/>
    </xf>
    <xf numFmtId="165" fontId="2" fillId="8" borderId="5" xfId="9" applyNumberFormat="1" applyFill="1" applyBorder="1" applyAlignment="1">
      <alignment horizontal="center" vertical="center"/>
    </xf>
    <xf numFmtId="0" fontId="2" fillId="8" borderId="5" xfId="9" applyFill="1" applyBorder="1" applyAlignment="1">
      <alignment vertical="center"/>
    </xf>
    <xf numFmtId="49" fontId="2" fillId="8" borderId="5" xfId="9" applyNumberFormat="1" applyFill="1" applyBorder="1" applyAlignment="1">
      <alignment vertical="center" wrapText="1"/>
    </xf>
    <xf numFmtId="166" fontId="2" fillId="8" borderId="5" xfId="17" applyNumberFormat="1" applyFont="1" applyFill="1" applyBorder="1" applyAlignment="1">
      <alignment vertical="center"/>
    </xf>
    <xf numFmtId="49" fontId="2" fillId="8" borderId="5" xfId="9" applyNumberFormat="1" applyFill="1" applyBorder="1" applyAlignment="1">
      <alignment vertical="center"/>
    </xf>
    <xf numFmtId="0" fontId="2" fillId="0" borderId="19" xfId="9" applyBorder="1" applyAlignment="1">
      <alignment vertical="center"/>
    </xf>
    <xf numFmtId="49" fontId="2" fillId="8" borderId="5" xfId="9" applyNumberFormat="1" applyFill="1" applyBorder="1" applyAlignment="1">
      <alignment horizontal="center" vertical="center" wrapText="1"/>
    </xf>
    <xf numFmtId="0" fontId="2" fillId="0" borderId="21" xfId="9" applyBorder="1" applyAlignment="1">
      <alignment vertical="center"/>
    </xf>
    <xf numFmtId="166" fontId="2" fillId="0" borderId="5" xfId="1" applyNumberFormat="1" applyFont="1" applyFill="1" applyBorder="1" applyAlignment="1">
      <alignment vertical="center"/>
    </xf>
    <xf numFmtId="0" fontId="2" fillId="0" borderId="20" xfId="9" applyBorder="1" applyAlignment="1">
      <alignment vertical="center"/>
    </xf>
    <xf numFmtId="0" fontId="2" fillId="8" borderId="5" xfId="9" applyFill="1" applyBorder="1" applyAlignment="1">
      <alignment horizontal="center" vertical="center"/>
    </xf>
    <xf numFmtId="165" fontId="2" fillId="0" borderId="5" xfId="9" applyNumberFormat="1" applyBorder="1" applyAlignment="1">
      <alignment horizontal="center" vertical="center" wrapText="1"/>
    </xf>
    <xf numFmtId="0" fontId="2" fillId="0" borderId="5" xfId="9" applyBorder="1" applyAlignment="1">
      <alignment horizontal="center" vertical="center" wrapText="1"/>
    </xf>
    <xf numFmtId="0" fontId="2" fillId="0" borderId="0" xfId="9" applyAlignment="1">
      <alignment vertical="center" wrapText="1"/>
    </xf>
    <xf numFmtId="165" fontId="2" fillId="0" borderId="6" xfId="9" applyNumberFormat="1" applyBorder="1" applyAlignment="1">
      <alignment horizontal="center" vertical="center"/>
    </xf>
    <xf numFmtId="49" fontId="2" fillId="7" borderId="6" xfId="9" applyNumberFormat="1" applyFill="1" applyBorder="1" applyAlignment="1">
      <alignment vertical="center"/>
    </xf>
    <xf numFmtId="49" fontId="2" fillId="7" borderId="6" xfId="9" applyNumberFormat="1" applyFill="1" applyBorder="1" applyAlignment="1">
      <alignment horizontal="center" vertical="center"/>
    </xf>
    <xf numFmtId="0" fontId="2" fillId="0" borderId="6" xfId="9" applyBorder="1" applyAlignment="1">
      <alignment vertical="center" wrapText="1"/>
    </xf>
    <xf numFmtId="166" fontId="2" fillId="0" borderId="6" xfId="17" applyNumberFormat="1" applyFont="1" applyFill="1" applyBorder="1" applyAlignment="1">
      <alignment vertical="center"/>
    </xf>
    <xf numFmtId="49" fontId="2" fillId="7" borderId="5" xfId="9" applyNumberFormat="1" applyFill="1" applyBorder="1" applyAlignment="1">
      <alignment horizontal="left" vertical="center"/>
    </xf>
    <xf numFmtId="0" fontId="2" fillId="0" borderId="5" xfId="9" applyBorder="1" applyAlignment="1">
      <alignment horizontal="left" vertical="center" wrapText="1"/>
    </xf>
    <xf numFmtId="166" fontId="2" fillId="0" borderId="5" xfId="17" applyNumberFormat="1" applyFont="1" applyFill="1" applyBorder="1" applyAlignment="1">
      <alignment horizontal="center" vertical="center"/>
    </xf>
    <xf numFmtId="2" fontId="2" fillId="0" borderId="0" xfId="9" applyNumberFormat="1" applyAlignment="1">
      <alignment horizontal="center"/>
    </xf>
    <xf numFmtId="49" fontId="2" fillId="0" borderId="0" xfId="9" applyNumberFormat="1" applyAlignment="1">
      <alignment horizontal="center"/>
    </xf>
    <xf numFmtId="49" fontId="2" fillId="0" borderId="0" xfId="9" applyNumberFormat="1"/>
    <xf numFmtId="49" fontId="2" fillId="0" borderId="0" xfId="9" applyNumberFormat="1" applyAlignment="1">
      <alignment wrapText="1"/>
    </xf>
    <xf numFmtId="164" fontId="2" fillId="0" borderId="5" xfId="2" applyFont="1" applyBorder="1" applyAlignment="1">
      <alignment horizontal="center" vertical="center"/>
    </xf>
    <xf numFmtId="0" fontId="2" fillId="10" borderId="5" xfId="0" applyFont="1" applyFill="1" applyBorder="1" applyAlignment="1">
      <alignment vertical="center"/>
    </xf>
    <xf numFmtId="49" fontId="2" fillId="10" borderId="5" xfId="0" applyNumberFormat="1" applyFont="1" applyFill="1" applyBorder="1" applyAlignment="1">
      <alignment vertical="center"/>
    </xf>
    <xf numFmtId="164" fontId="2" fillId="11" borderId="5" xfId="2" applyFont="1" applyFill="1" applyBorder="1" applyAlignment="1">
      <alignment horizontal="center" vertical="center"/>
    </xf>
    <xf numFmtId="0" fontId="2" fillId="11" borderId="5" xfId="8" applyFont="1" applyFill="1" applyBorder="1" applyAlignment="1">
      <alignment vertical="center"/>
    </xf>
    <xf numFmtId="0" fontId="9" fillId="10" borderId="6" xfId="8" applyFont="1" applyFill="1" applyBorder="1" applyAlignment="1">
      <alignment vertical="center"/>
    </xf>
    <xf numFmtId="165" fontId="9" fillId="10" borderId="26" xfId="8" applyNumberFormat="1" applyFont="1" applyFill="1" applyBorder="1" applyAlignment="1">
      <alignment horizontal="center" vertical="center"/>
    </xf>
    <xf numFmtId="0" fontId="2" fillId="10" borderId="5" xfId="8" applyFont="1" applyFill="1" applyBorder="1" applyAlignment="1">
      <alignment vertical="center"/>
    </xf>
    <xf numFmtId="0" fontId="2" fillId="11" borderId="5" xfId="9" applyFill="1" applyBorder="1" applyAlignment="1">
      <alignment vertical="center"/>
    </xf>
    <xf numFmtId="0" fontId="28" fillId="10" borderId="5" xfId="8" applyFont="1" applyFill="1" applyBorder="1" applyAlignment="1">
      <alignment vertical="center"/>
    </xf>
    <xf numFmtId="165" fontId="28" fillId="10" borderId="10" xfId="8" applyNumberFormat="1" applyFont="1" applyFill="1" applyBorder="1" applyAlignment="1">
      <alignment horizontal="center" vertical="center"/>
    </xf>
    <xf numFmtId="164" fontId="2" fillId="0" borderId="0" xfId="10" applyFont="1" applyBorder="1" applyAlignment="1">
      <alignment horizontal="center" vertical="center" wrapText="1"/>
    </xf>
    <xf numFmtId="49" fontId="2" fillId="0" borderId="10" xfId="8" applyNumberFormat="1" applyFont="1" applyBorder="1" applyAlignment="1">
      <alignment horizontal="center" vertical="center" wrapText="1"/>
    </xf>
    <xf numFmtId="14" fontId="9" fillId="0" borderId="0" xfId="8" applyNumberFormat="1" applyFont="1" applyAlignment="1">
      <alignment vertical="center"/>
    </xf>
    <xf numFmtId="0" fontId="11" fillId="12" borderId="26" xfId="8" applyFont="1" applyFill="1" applyBorder="1" applyAlignment="1">
      <alignment horizontal="center" vertical="center"/>
    </xf>
    <xf numFmtId="0" fontId="11" fillId="12" borderId="22" xfId="8" applyFont="1" applyFill="1" applyBorder="1" applyAlignment="1">
      <alignment horizontal="center" vertical="center"/>
    </xf>
    <xf numFmtId="0" fontId="11" fillId="12" borderId="27" xfId="8" applyFont="1" applyFill="1" applyBorder="1" applyAlignment="1">
      <alignment horizontal="center" vertical="center"/>
    </xf>
    <xf numFmtId="49" fontId="2" fillId="0" borderId="5" xfId="8" applyNumberFormat="1" applyFont="1" applyBorder="1" applyAlignment="1">
      <alignment horizontal="left" vertical="center"/>
    </xf>
    <xf numFmtId="0" fontId="2" fillId="0" borderId="6" xfId="8" applyFont="1" applyBorder="1" applyAlignment="1">
      <alignment vertical="center"/>
    </xf>
    <xf numFmtId="0" fontId="2" fillId="0" borderId="5" xfId="9" applyBorder="1"/>
    <xf numFmtId="0" fontId="5" fillId="0" borderId="0" xfId="9" applyFont="1" applyAlignment="1">
      <alignment vertical="center"/>
    </xf>
    <xf numFmtId="166" fontId="2" fillId="0" borderId="10" xfId="2" applyNumberFormat="1" applyFont="1" applyFill="1" applyBorder="1" applyAlignment="1">
      <alignment vertical="center"/>
    </xf>
    <xf numFmtId="166" fontId="2" fillId="0" borderId="5" xfId="10" applyNumberFormat="1" applyFont="1" applyFill="1" applyBorder="1" applyAlignment="1">
      <alignment vertical="center"/>
    </xf>
    <xf numFmtId="49" fontId="2" fillId="0" borderId="10" xfId="9" applyNumberFormat="1" applyBorder="1" applyAlignment="1">
      <alignment horizontal="center" vertical="center" wrapText="1"/>
    </xf>
    <xf numFmtId="0" fontId="24" fillId="0" borderId="5" xfId="8" applyFont="1" applyBorder="1" applyAlignment="1">
      <alignment vertical="center"/>
    </xf>
    <xf numFmtId="0" fontId="24" fillId="0" borderId="0" xfId="8" applyFont="1" applyAlignment="1">
      <alignment vertical="center"/>
    </xf>
    <xf numFmtId="0" fontId="0" fillId="0" borderId="35" xfId="0" applyBorder="1" applyAlignment="1">
      <alignment horizontal="center" vertical="center"/>
    </xf>
    <xf numFmtId="170" fontId="2" fillId="0" borderId="5" xfId="8" applyNumberFormat="1" applyFont="1" applyBorder="1" applyAlignment="1">
      <alignment horizontal="center" vertical="center" wrapText="1"/>
    </xf>
    <xf numFmtId="2" fontId="2" fillId="7" borderId="5" xfId="8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24" fillId="10" borderId="5" xfId="8" applyFont="1" applyFill="1" applyBorder="1" applyAlignment="1">
      <alignment horizontal="center" vertical="center"/>
    </xf>
    <xf numFmtId="49" fontId="24" fillId="10" borderId="5" xfId="8" applyNumberFormat="1" applyFont="1" applyFill="1" applyBorder="1" applyAlignment="1">
      <alignment horizontal="center" vertical="center"/>
    </xf>
    <xf numFmtId="0" fontId="11" fillId="0" borderId="0" xfId="8" applyFont="1" applyAlignment="1">
      <alignment vertical="center" wrapText="1"/>
    </xf>
    <xf numFmtId="0" fontId="24" fillId="0" borderId="5" xfId="8" applyFont="1" applyBorder="1" applyAlignment="1">
      <alignment vertical="center" wrapText="1"/>
    </xf>
    <xf numFmtId="49" fontId="2" fillId="14" borderId="5" xfId="8" applyNumberFormat="1" applyFont="1" applyFill="1" applyBorder="1" applyAlignment="1">
      <alignment horizontal="center" vertical="center"/>
    </xf>
    <xf numFmtId="1" fontId="2" fillId="7" borderId="5" xfId="8" applyNumberFormat="1" applyFont="1" applyFill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3" xfId="8" applyNumberFormat="1" applyBorder="1" applyAlignment="1">
      <alignment horizontal="center" vertical="center"/>
    </xf>
    <xf numFmtId="49" fontId="3" fillId="0" borderId="13" xfId="8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4" fillId="0" borderId="5" xfId="8" applyFont="1" applyBorder="1" applyAlignment="1">
      <alignment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2" fillId="6" borderId="5" xfId="0" applyFont="1" applyFill="1" applyBorder="1" applyAlignment="1">
      <alignment vertical="center" wrapText="1"/>
    </xf>
    <xf numFmtId="0" fontId="2" fillId="6" borderId="5" xfId="8" applyFont="1" applyFill="1" applyBorder="1" applyAlignment="1">
      <alignment vertical="center"/>
    </xf>
    <xf numFmtId="0" fontId="37" fillId="0" borderId="5" xfId="8" applyFont="1" applyBorder="1" applyAlignment="1">
      <alignment horizontal="center" vertical="center" wrapText="1"/>
    </xf>
    <xf numFmtId="0" fontId="2" fillId="0" borderId="32" xfId="8" applyFont="1" applyBorder="1" applyAlignment="1">
      <alignment vertical="center"/>
    </xf>
    <xf numFmtId="49" fontId="5" fillId="12" borderId="5" xfId="9" applyNumberFormat="1" applyFont="1" applyFill="1" applyBorder="1" applyAlignment="1">
      <alignment horizontal="center" vertical="center" wrapText="1"/>
    </xf>
    <xf numFmtId="0" fontId="5" fillId="12" borderId="5" xfId="9" applyFont="1" applyFill="1" applyBorder="1" applyAlignment="1">
      <alignment horizontal="center" vertical="center"/>
    </xf>
    <xf numFmtId="49" fontId="5" fillId="12" borderId="5" xfId="9" applyNumberFormat="1" applyFont="1" applyFill="1" applyBorder="1" applyAlignment="1">
      <alignment horizontal="center" vertical="center"/>
    </xf>
    <xf numFmtId="49" fontId="38" fillId="12" borderId="1" xfId="8" applyNumberFormat="1" applyFont="1" applyFill="1" applyBorder="1" applyAlignment="1">
      <alignment horizontal="center" vertical="center" wrapText="1"/>
    </xf>
    <xf numFmtId="0" fontId="38" fillId="12" borderId="5" xfId="8" applyFont="1" applyFill="1" applyBorder="1" applyAlignment="1">
      <alignment horizontal="center" vertical="center" wrapText="1"/>
    </xf>
    <xf numFmtId="49" fontId="38" fillId="12" borderId="5" xfId="8" applyNumberFormat="1" applyFont="1" applyFill="1" applyBorder="1" applyAlignment="1">
      <alignment horizontal="center" vertical="center"/>
    </xf>
    <xf numFmtId="0" fontId="38" fillId="0" borderId="0" xfId="8" applyFont="1" applyAlignment="1">
      <alignment vertical="center"/>
    </xf>
    <xf numFmtId="0" fontId="40" fillId="0" borderId="32" xfId="8" applyFont="1" applyBorder="1" applyAlignment="1">
      <alignment vertical="center"/>
    </xf>
    <xf numFmtId="0" fontId="39" fillId="12" borderId="18" xfId="8" applyFont="1" applyFill="1" applyBorder="1" applyAlignment="1">
      <alignment horizontal="center" vertical="center"/>
    </xf>
    <xf numFmtId="0" fontId="39" fillId="12" borderId="5" xfId="8" applyFont="1" applyFill="1" applyBorder="1" applyAlignment="1">
      <alignment horizontal="center" vertical="center"/>
    </xf>
    <xf numFmtId="49" fontId="39" fillId="12" borderId="5" xfId="8" applyNumberFormat="1" applyFont="1" applyFill="1" applyBorder="1" applyAlignment="1">
      <alignment horizontal="center" vertical="center" wrapText="1"/>
    </xf>
    <xf numFmtId="0" fontId="40" fillId="12" borderId="5" xfId="8" applyFont="1" applyFill="1" applyBorder="1" applyAlignment="1">
      <alignment vertical="center"/>
    </xf>
    <xf numFmtId="49" fontId="38" fillId="0" borderId="1" xfId="8" applyNumberFormat="1" applyFont="1" applyBorder="1" applyAlignment="1">
      <alignment horizontal="center" vertical="center" wrapText="1"/>
    </xf>
    <xf numFmtId="0" fontId="38" fillId="0" borderId="18" xfId="8" applyFont="1" applyBorder="1" applyAlignment="1">
      <alignment horizontal="center" vertical="center"/>
    </xf>
    <xf numFmtId="0" fontId="38" fillId="0" borderId="5" xfId="8" applyFont="1" applyBorder="1" applyAlignment="1">
      <alignment horizontal="center" vertical="center"/>
    </xf>
    <xf numFmtId="49" fontId="38" fillId="0" borderId="5" xfId="8" applyNumberFormat="1" applyFont="1" applyBorder="1" applyAlignment="1">
      <alignment horizontal="center" vertical="center"/>
    </xf>
    <xf numFmtId="49" fontId="38" fillId="0" borderId="5" xfId="8" applyNumberFormat="1" applyFont="1" applyBorder="1" applyAlignment="1">
      <alignment horizontal="center" vertical="center" wrapText="1"/>
    </xf>
    <xf numFmtId="0" fontId="38" fillId="0" borderId="5" xfId="8" applyFont="1" applyBorder="1" applyAlignment="1">
      <alignment horizontal="center" vertical="center" wrapText="1"/>
    </xf>
    <xf numFmtId="0" fontId="24" fillId="0" borderId="5" xfId="8" applyFont="1" applyBorder="1" applyAlignment="1">
      <alignment horizontal="center" vertical="center" wrapText="1"/>
    </xf>
    <xf numFmtId="49" fontId="42" fillId="0" borderId="5" xfId="8" applyNumberFormat="1" applyFont="1" applyBorder="1" applyAlignment="1">
      <alignment horizontal="center" vertical="center" wrapText="1"/>
    </xf>
    <xf numFmtId="49" fontId="4" fillId="0" borderId="5" xfId="8" applyNumberFormat="1" applyFont="1" applyBorder="1" applyAlignment="1">
      <alignment vertical="center" wrapText="1"/>
    </xf>
    <xf numFmtId="49" fontId="4" fillId="0" borderId="5" xfId="9" applyNumberFormat="1" applyFont="1" applyBorder="1" applyAlignment="1">
      <alignment vertical="center" wrapText="1"/>
    </xf>
    <xf numFmtId="0" fontId="4" fillId="0" borderId="5" xfId="9" applyFont="1" applyBorder="1" applyAlignment="1">
      <alignment horizontal="left" vertical="center" wrapText="1"/>
    </xf>
    <xf numFmtId="0" fontId="4" fillId="0" borderId="5" xfId="8" applyFont="1" applyBorder="1" applyAlignment="1">
      <alignment horizontal="left" vertical="center" wrapText="1"/>
    </xf>
    <xf numFmtId="0" fontId="4" fillId="0" borderId="0" xfId="0" applyFont="1"/>
    <xf numFmtId="49" fontId="2" fillId="3" borderId="5" xfId="0" applyNumberFormat="1" applyFont="1" applyFill="1" applyBorder="1" applyAlignment="1">
      <alignment horizontal="center" vertical="center"/>
    </xf>
    <xf numFmtId="49" fontId="2" fillId="3" borderId="5" xfId="9" applyNumberFormat="1" applyFill="1" applyBorder="1" applyAlignment="1">
      <alignment horizontal="center" vertical="center"/>
    </xf>
    <xf numFmtId="49" fontId="2" fillId="3" borderId="5" xfId="8" applyNumberFormat="1" applyFont="1" applyFill="1" applyBorder="1" applyAlignment="1">
      <alignment horizontal="center" vertical="center"/>
    </xf>
    <xf numFmtId="49" fontId="2" fillId="3" borderId="15" xfId="8" applyNumberFormat="1" applyFont="1" applyFill="1" applyBorder="1" applyAlignment="1">
      <alignment horizontal="center" vertical="center"/>
    </xf>
    <xf numFmtId="0" fontId="2" fillId="3" borderId="5" xfId="8" applyFont="1" applyFill="1" applyBorder="1" applyAlignment="1">
      <alignment horizontal="center" vertical="center"/>
    </xf>
    <xf numFmtId="49" fontId="2" fillId="3" borderId="18" xfId="8" applyNumberFormat="1" applyFont="1" applyFill="1" applyBorder="1" applyAlignment="1">
      <alignment horizontal="center" vertical="center"/>
    </xf>
    <xf numFmtId="165" fontId="2" fillId="3" borderId="5" xfId="8" applyNumberFormat="1" applyFont="1" applyFill="1" applyBorder="1" applyAlignment="1">
      <alignment horizontal="center" vertical="center"/>
    </xf>
    <xf numFmtId="0" fontId="2" fillId="3" borderId="5" xfId="8" applyFont="1" applyFill="1" applyBorder="1" applyAlignment="1">
      <alignment vertical="center"/>
    </xf>
    <xf numFmtId="49" fontId="2" fillId="3" borderId="0" xfId="0" applyNumberFormat="1" applyFont="1" applyFill="1" applyAlignment="1">
      <alignment horizontal="center" vertical="center"/>
    </xf>
    <xf numFmtId="49" fontId="2" fillId="15" borderId="5" xfId="8" applyNumberFormat="1" applyFont="1" applyFill="1" applyBorder="1" applyAlignment="1">
      <alignment horizontal="center" vertical="center"/>
    </xf>
    <xf numFmtId="49" fontId="2" fillId="15" borderId="18" xfId="8" applyNumberFormat="1" applyFont="1" applyFill="1" applyBorder="1" applyAlignment="1">
      <alignment horizontal="center" vertical="center"/>
    </xf>
    <xf numFmtId="0" fontId="2" fillId="15" borderId="5" xfId="8" applyFont="1" applyFill="1" applyBorder="1" applyAlignment="1">
      <alignment horizontal="center" vertical="center"/>
    </xf>
    <xf numFmtId="49" fontId="8" fillId="16" borderId="18" xfId="8" applyNumberFormat="1" applyFont="1" applyFill="1" applyBorder="1" applyAlignment="1">
      <alignment horizontal="center" vertical="center"/>
    </xf>
    <xf numFmtId="49" fontId="8" fillId="16" borderId="5" xfId="8" applyNumberFormat="1" applyFont="1" applyFill="1" applyBorder="1" applyAlignment="1">
      <alignment horizontal="center" vertical="center"/>
    </xf>
    <xf numFmtId="49" fontId="2" fillId="17" borderId="5" xfId="8" applyNumberFormat="1" applyFont="1" applyFill="1" applyBorder="1" applyAlignment="1">
      <alignment horizontal="center" vertical="center"/>
    </xf>
    <xf numFmtId="49" fontId="2" fillId="17" borderId="5" xfId="9" applyNumberFormat="1" applyFill="1" applyBorder="1" applyAlignment="1">
      <alignment horizontal="center" vertical="center"/>
    </xf>
    <xf numFmtId="49" fontId="2" fillId="17" borderId="18" xfId="8" applyNumberFormat="1" applyFont="1" applyFill="1" applyBorder="1" applyAlignment="1">
      <alignment horizontal="center" vertical="center"/>
    </xf>
    <xf numFmtId="49" fontId="43" fillId="0" borderId="5" xfId="8" applyNumberFormat="1" applyFont="1" applyBorder="1" applyAlignment="1">
      <alignment horizontal="center" vertical="center"/>
    </xf>
    <xf numFmtId="49" fontId="44" fillId="0" borderId="5" xfId="8" applyNumberFormat="1" applyFont="1" applyBorder="1" applyAlignment="1">
      <alignment horizontal="center" vertical="center" wrapText="1"/>
    </xf>
    <xf numFmtId="49" fontId="43" fillId="0" borderId="5" xfId="8" applyNumberFormat="1" applyFont="1" applyBorder="1" applyAlignment="1">
      <alignment horizontal="center" vertical="center" wrapText="1"/>
    </xf>
    <xf numFmtId="49" fontId="24" fillId="0" borderId="1" xfId="0" applyNumberFormat="1" applyFont="1" applyBorder="1" applyAlignment="1">
      <alignment vertical="center"/>
    </xf>
    <xf numFmtId="0" fontId="24" fillId="0" borderId="0" xfId="0" applyFont="1"/>
    <xf numFmtId="0" fontId="24" fillId="0" borderId="1" xfId="0" applyFont="1" applyBorder="1" applyAlignment="1">
      <alignment horizontal="left" vertical="center"/>
    </xf>
    <xf numFmtId="49" fontId="24" fillId="0" borderId="3" xfId="0" applyNumberFormat="1" applyFont="1" applyBorder="1" applyAlignment="1">
      <alignment vertical="center"/>
    </xf>
    <xf numFmtId="49" fontId="24" fillId="0" borderId="1" xfId="0" applyNumberFormat="1" applyFont="1" applyBorder="1"/>
    <xf numFmtId="49" fontId="9" fillId="0" borderId="0" xfId="8" applyNumberFormat="1" applyFont="1" applyAlignment="1">
      <alignment horizontal="center" vertical="center"/>
    </xf>
    <xf numFmtId="0" fontId="2" fillId="12" borderId="10" xfId="8" applyFont="1" applyFill="1" applyBorder="1" applyAlignment="1">
      <alignment horizontal="center" vertical="center"/>
    </xf>
    <xf numFmtId="0" fontId="2" fillId="12" borderId="28" xfId="8" applyFont="1" applyFill="1" applyBorder="1" applyAlignment="1">
      <alignment horizontal="center" vertical="center"/>
    </xf>
    <xf numFmtId="0" fontId="2" fillId="12" borderId="18" xfId="8" applyFont="1" applyFill="1" applyBorder="1" applyAlignment="1">
      <alignment horizontal="center" vertical="center"/>
    </xf>
    <xf numFmtId="0" fontId="2" fillId="13" borderId="10" xfId="8" applyFont="1" applyFill="1" applyBorder="1" applyAlignment="1">
      <alignment horizontal="center" vertical="center"/>
    </xf>
    <xf numFmtId="0" fontId="2" fillId="13" borderId="28" xfId="8" applyFont="1" applyFill="1" applyBorder="1" applyAlignment="1">
      <alignment horizontal="center" vertical="center"/>
    </xf>
    <xf numFmtId="0" fontId="2" fillId="13" borderId="18" xfId="8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0" xfId="8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49" fontId="11" fillId="0" borderId="10" xfId="9" applyNumberFormat="1" applyFont="1" applyBorder="1" applyAlignment="1">
      <alignment horizontal="left" vertical="center"/>
    </xf>
    <xf numFmtId="49" fontId="11" fillId="0" borderId="18" xfId="9" applyNumberFormat="1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49" fontId="11" fillId="0" borderId="5" xfId="9" applyNumberFormat="1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49" fontId="11" fillId="0" borderId="15" xfId="9" applyNumberFormat="1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11" fillId="10" borderId="5" xfId="0" applyFont="1" applyFill="1" applyBorder="1" applyAlignment="1">
      <alignment horizontal="center" vertical="center"/>
    </xf>
    <xf numFmtId="0" fontId="2" fillId="0" borderId="5" xfId="8" applyFont="1" applyBorder="1" applyAlignment="1">
      <alignment horizontal="center" vertical="center"/>
    </xf>
    <xf numFmtId="49" fontId="2" fillId="0" borderId="26" xfId="8" applyNumberFormat="1" applyFont="1" applyBorder="1" applyAlignment="1">
      <alignment horizontal="center" vertical="center"/>
    </xf>
    <xf numFmtId="49" fontId="2" fillId="0" borderId="32" xfId="8" applyNumberFormat="1" applyFont="1" applyBorder="1" applyAlignment="1">
      <alignment horizontal="center" vertical="center"/>
    </xf>
    <xf numFmtId="49" fontId="2" fillId="0" borderId="24" xfId="0" applyNumberFormat="1" applyFont="1" applyBorder="1" applyAlignment="1">
      <alignment horizontal="center" vertical="center"/>
    </xf>
    <xf numFmtId="49" fontId="2" fillId="0" borderId="25" xfId="0" applyNumberFormat="1" applyFont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/>
    </xf>
    <xf numFmtId="0" fontId="11" fillId="10" borderId="18" xfId="0" applyFont="1" applyFill="1" applyBorder="1" applyAlignment="1">
      <alignment horizontal="center" vertical="center"/>
    </xf>
    <xf numFmtId="49" fontId="2" fillId="11" borderId="24" xfId="0" applyNumberFormat="1" applyFont="1" applyFill="1" applyBorder="1" applyAlignment="1">
      <alignment horizontal="center" vertical="center"/>
    </xf>
    <xf numFmtId="49" fontId="2" fillId="11" borderId="25" xfId="0" applyNumberFormat="1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8" xfId="0" applyFont="1" applyFill="1" applyBorder="1" applyAlignment="1">
      <alignment horizontal="center" vertical="center" wrapText="1"/>
    </xf>
    <xf numFmtId="0" fontId="2" fillId="11" borderId="5" xfId="8" applyFont="1" applyFill="1" applyBorder="1" applyAlignment="1">
      <alignment horizontal="center" vertical="center"/>
    </xf>
  </cellXfs>
  <cellStyles count="19">
    <cellStyle name="Currency" xfId="1" builtinId="4"/>
    <cellStyle name="Currency 2" xfId="2" xr:uid="{00000000-0005-0000-0000-000001000000}"/>
    <cellStyle name="Currency 2 2" xfId="10" xr:uid="{00000000-0005-0000-0000-000002000000}"/>
    <cellStyle name="Currency 2 3" xfId="17" xr:uid="{00000000-0005-0000-0000-000003000000}"/>
    <cellStyle name="Currency 3" xfId="3" xr:uid="{00000000-0005-0000-0000-000004000000}"/>
    <cellStyle name="Currency 3 2" xfId="4" xr:uid="{00000000-0005-0000-0000-000005000000}"/>
    <cellStyle name="Currency 3 2 2" xfId="13" xr:uid="{00000000-0005-0000-0000-000006000000}"/>
    <cellStyle name="Currency 4" xfId="5" xr:uid="{00000000-0005-0000-0000-000007000000}"/>
    <cellStyle name="Currency 4 2" xfId="12" xr:uid="{00000000-0005-0000-0000-000008000000}"/>
    <cellStyle name="Currency 5" xfId="14" xr:uid="{00000000-0005-0000-0000-000009000000}"/>
    <cellStyle name="Currency 6" xfId="15" xr:uid="{00000000-0005-0000-0000-00000A000000}"/>
    <cellStyle name="Followed Hyperlink 2" xfId="6" xr:uid="{00000000-0005-0000-0000-00000B000000}"/>
    <cellStyle name="Hyperlink 2" xfId="7" xr:uid="{00000000-0005-0000-0000-00000C000000}"/>
    <cellStyle name="Normal" xfId="0" builtinId="0"/>
    <cellStyle name="Normal 2" xfId="16" xr:uid="{00000000-0005-0000-0000-00000E000000}"/>
    <cellStyle name="Normal 3" xfId="8" xr:uid="{00000000-0005-0000-0000-00000F000000}"/>
    <cellStyle name="Normal 3 2" xfId="9" xr:uid="{00000000-0005-0000-0000-000010000000}"/>
    <cellStyle name="Normal 4" xfId="18" xr:uid="{00000000-0005-0000-0000-000011000000}"/>
    <cellStyle name="Normal 5" xfId="11" xr:uid="{00000000-0005-0000-0000-000012000000}"/>
  </cellStyles>
  <dxfs count="0"/>
  <tableStyles count="0" defaultTableStyle="TableStyleMedium9" defaultPivotStyle="PivotStyleLight16"/>
  <colors>
    <mruColors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99391</xdr:colOff>
      <xdr:row>94</xdr:row>
      <xdr:rowOff>366064</xdr:rowOff>
    </xdr:from>
    <xdr:to>
      <xdr:col>18</xdr:col>
      <xdr:colOff>575615</xdr:colOff>
      <xdr:row>96</xdr:row>
      <xdr:rowOff>61264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D60D11-784E-B699-D423-C808A0D53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53761" y="26713042"/>
          <a:ext cx="5379528" cy="45720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99D3-D9F2-46E1-9583-6CC53A882EB5}">
  <dimension ref="A1:EY80"/>
  <sheetViews>
    <sheetView view="pageBreakPreview" topLeftCell="A3" zoomScale="71" zoomScaleNormal="71" zoomScaleSheetLayoutView="71" workbookViewId="0">
      <selection activeCell="C19" sqref="C19"/>
    </sheetView>
  </sheetViews>
  <sheetFormatPr defaultColWidth="9.140625" defaultRowHeight="12.75"/>
  <cols>
    <col min="1" max="1" width="4.28515625" style="219" customWidth="1"/>
    <col min="2" max="2" width="27.28515625" style="220" customWidth="1"/>
    <col min="3" max="3" width="14.85546875" style="220" customWidth="1"/>
    <col min="4" max="4" width="32.7109375" style="199" customWidth="1"/>
    <col min="5" max="5" width="11.5703125" style="199" bestFit="1" customWidth="1"/>
    <col min="6" max="16384" width="9.140625" style="199"/>
  </cols>
  <sheetData>
    <row r="1" spans="1:5" s="76" customFormat="1" ht="19.899999999999999" customHeight="1">
      <c r="A1" s="549" t="s">
        <v>209</v>
      </c>
      <c r="B1" s="549"/>
      <c r="C1" s="86" t="s">
        <v>1949</v>
      </c>
      <c r="D1" s="86" t="s">
        <v>1948</v>
      </c>
      <c r="E1" s="454"/>
    </row>
    <row r="2" spans="1:5" s="99" customFormat="1">
      <c r="A2" s="161"/>
      <c r="B2" s="162"/>
      <c r="C2" s="162"/>
    </row>
    <row r="3" spans="1:5" s="99" customFormat="1" ht="25.15" customHeight="1">
      <c r="A3" s="455" t="s">
        <v>1944</v>
      </c>
      <c r="B3" s="456" t="s">
        <v>0</v>
      </c>
      <c r="C3" s="456" t="s">
        <v>1</v>
      </c>
      <c r="D3" s="457" t="s">
        <v>1945</v>
      </c>
    </row>
    <row r="4" spans="1:5" ht="25.15" customHeight="1">
      <c r="A4" s="206">
        <v>1</v>
      </c>
      <c r="B4" s="212" t="s">
        <v>194</v>
      </c>
      <c r="C4" s="183" t="s">
        <v>195</v>
      </c>
      <c r="D4" s="213"/>
    </row>
    <row r="5" spans="1:5" ht="25.15" customHeight="1">
      <c r="A5" s="206">
        <v>2</v>
      </c>
      <c r="B5" s="212" t="s">
        <v>518</v>
      </c>
      <c r="C5" s="183" t="s">
        <v>1412</v>
      </c>
      <c r="D5" s="213"/>
    </row>
    <row r="6" spans="1:5" ht="25.15" customHeight="1">
      <c r="A6" s="206">
        <v>3</v>
      </c>
      <c r="B6" s="212" t="s">
        <v>518</v>
      </c>
      <c r="C6" s="183" t="s">
        <v>862</v>
      </c>
      <c r="D6" s="213"/>
    </row>
    <row r="7" spans="1:5" ht="25.15" customHeight="1">
      <c r="A7" s="206">
        <v>4</v>
      </c>
      <c r="B7" s="212" t="s">
        <v>518</v>
      </c>
      <c r="C7" s="183" t="s">
        <v>818</v>
      </c>
      <c r="D7" s="213"/>
    </row>
    <row r="8" spans="1:5" ht="25.15" customHeight="1">
      <c r="A8" s="206">
        <v>5</v>
      </c>
      <c r="B8" s="212" t="s">
        <v>518</v>
      </c>
      <c r="C8" s="183" t="s">
        <v>861</v>
      </c>
      <c r="D8" s="213"/>
    </row>
    <row r="9" spans="1:5" ht="25.15" customHeight="1">
      <c r="A9" s="206">
        <v>6</v>
      </c>
      <c r="B9" s="212" t="s">
        <v>518</v>
      </c>
      <c r="C9" s="206" t="s">
        <v>532</v>
      </c>
      <c r="D9" s="213"/>
    </row>
    <row r="10" spans="1:5" ht="25.15" customHeight="1">
      <c r="A10" s="206">
        <v>7</v>
      </c>
      <c r="B10" s="212" t="s">
        <v>518</v>
      </c>
      <c r="C10" s="183" t="s">
        <v>860</v>
      </c>
      <c r="D10" s="213"/>
    </row>
    <row r="11" spans="1:5" s="328" customFormat="1" ht="25.15" customHeight="1">
      <c r="A11" s="206">
        <v>8</v>
      </c>
      <c r="B11" s="212" t="s">
        <v>518</v>
      </c>
      <c r="C11" s="183" t="s">
        <v>523</v>
      </c>
      <c r="D11" s="385"/>
    </row>
    <row r="12" spans="1:5" s="328" customFormat="1" ht="25.15" customHeight="1">
      <c r="A12" s="206">
        <v>9</v>
      </c>
      <c r="B12" s="212" t="s">
        <v>518</v>
      </c>
      <c r="C12" s="183" t="s">
        <v>1218</v>
      </c>
      <c r="D12" s="385"/>
    </row>
    <row r="13" spans="1:5" ht="25.15" customHeight="1">
      <c r="A13" s="206">
        <v>10</v>
      </c>
      <c r="B13" s="212" t="s">
        <v>518</v>
      </c>
      <c r="C13" s="183" t="s">
        <v>1368</v>
      </c>
      <c r="D13" s="213"/>
    </row>
    <row r="14" spans="1:5" ht="25.15" customHeight="1">
      <c r="A14" s="206">
        <v>11</v>
      </c>
      <c r="B14" s="212" t="s">
        <v>518</v>
      </c>
      <c r="C14" s="183" t="s">
        <v>815</v>
      </c>
      <c r="D14" s="213"/>
    </row>
    <row r="15" spans="1:5" ht="25.15" customHeight="1">
      <c r="A15" s="206">
        <v>12</v>
      </c>
      <c r="B15" s="212" t="s">
        <v>518</v>
      </c>
      <c r="C15" s="183" t="s">
        <v>1026</v>
      </c>
      <c r="D15" s="213"/>
    </row>
    <row r="16" spans="1:5" ht="25.15" customHeight="1">
      <c r="A16" s="206">
        <v>13</v>
      </c>
      <c r="B16" s="212" t="s">
        <v>518</v>
      </c>
      <c r="C16" s="183" t="s">
        <v>885</v>
      </c>
      <c r="D16" s="213"/>
    </row>
    <row r="17" spans="1:154" ht="25.15" customHeight="1">
      <c r="A17" s="206">
        <v>14</v>
      </c>
      <c r="B17" s="212" t="s">
        <v>518</v>
      </c>
      <c r="C17" s="183" t="s">
        <v>1364</v>
      </c>
      <c r="D17" s="213"/>
    </row>
    <row r="18" spans="1:154" ht="25.15" customHeight="1">
      <c r="A18" s="206">
        <v>15</v>
      </c>
      <c r="B18" s="212" t="s">
        <v>518</v>
      </c>
      <c r="C18" s="183" t="s">
        <v>1219</v>
      </c>
      <c r="D18" s="213"/>
    </row>
    <row r="19" spans="1:154" ht="25.15" customHeight="1">
      <c r="A19" s="206">
        <v>16</v>
      </c>
      <c r="B19" s="212" t="s">
        <v>518</v>
      </c>
      <c r="C19" s="183" t="s">
        <v>858</v>
      </c>
      <c r="D19" s="213"/>
    </row>
    <row r="20" spans="1:154" ht="25.15" customHeight="1">
      <c r="A20" s="206">
        <v>17</v>
      </c>
      <c r="B20" s="212" t="s">
        <v>518</v>
      </c>
      <c r="C20" s="183" t="s">
        <v>1363</v>
      </c>
      <c r="D20" s="213"/>
    </row>
    <row r="21" spans="1:154" ht="25.15" customHeight="1">
      <c r="A21" s="206">
        <v>18</v>
      </c>
      <c r="B21" s="212" t="s">
        <v>518</v>
      </c>
      <c r="C21" s="183" t="s">
        <v>1341</v>
      </c>
      <c r="D21" s="213"/>
    </row>
    <row r="22" spans="1:154" ht="25.15" customHeight="1">
      <c r="A22" s="550" t="s">
        <v>1952</v>
      </c>
      <c r="B22" s="551"/>
      <c r="C22" s="551"/>
      <c r="D22" s="552"/>
    </row>
    <row r="23" spans="1:154" ht="25.15" customHeight="1">
      <c r="A23" s="206">
        <v>1</v>
      </c>
      <c r="B23" s="246" t="s">
        <v>1880</v>
      </c>
      <c r="C23" s="247" t="s">
        <v>1884</v>
      </c>
      <c r="D23" s="213"/>
    </row>
    <row r="24" spans="1:154" ht="25.15" customHeight="1">
      <c r="A24" s="206">
        <v>2</v>
      </c>
      <c r="B24" s="246" t="s">
        <v>1880</v>
      </c>
      <c r="C24" s="247" t="s">
        <v>1887</v>
      </c>
      <c r="D24" s="213"/>
    </row>
    <row r="25" spans="1:154" ht="25.15" customHeight="1">
      <c r="A25" s="206">
        <v>3</v>
      </c>
      <c r="B25" s="246" t="s">
        <v>1880</v>
      </c>
      <c r="C25" s="247" t="s">
        <v>1886</v>
      </c>
      <c r="D25" s="213"/>
    </row>
    <row r="26" spans="1:154" ht="25.15" customHeight="1">
      <c r="A26" s="206">
        <v>4</v>
      </c>
      <c r="B26" s="246" t="s">
        <v>1880</v>
      </c>
      <c r="C26" s="247" t="s">
        <v>1885</v>
      </c>
      <c r="D26" s="213"/>
    </row>
    <row r="27" spans="1:154" ht="25.15" customHeight="1">
      <c r="A27" s="206">
        <v>5</v>
      </c>
      <c r="B27" s="246" t="s">
        <v>1880</v>
      </c>
      <c r="C27" s="247" t="s">
        <v>1881</v>
      </c>
      <c r="D27" s="213"/>
    </row>
    <row r="28" spans="1:154" ht="25.15" customHeight="1">
      <c r="A28" s="550" t="s">
        <v>1946</v>
      </c>
      <c r="B28" s="551"/>
      <c r="C28" s="551"/>
      <c r="D28" s="552"/>
    </row>
    <row r="29" spans="1:154" ht="25.15" customHeight="1">
      <c r="A29" s="206">
        <v>1</v>
      </c>
      <c r="B29" s="458" t="s">
        <v>1850</v>
      </c>
      <c r="C29" s="183" t="s">
        <v>1858</v>
      </c>
      <c r="D29" s="213"/>
    </row>
    <row r="30" spans="1:154" ht="25.15" customHeight="1">
      <c r="A30" s="206">
        <v>2</v>
      </c>
      <c r="B30" s="212" t="s">
        <v>1850</v>
      </c>
      <c r="C30" s="183" t="s">
        <v>1861</v>
      </c>
      <c r="D30" s="213"/>
    </row>
    <row r="31" spans="1:154" ht="25.15" customHeight="1">
      <c r="A31" s="206">
        <v>3</v>
      </c>
      <c r="B31" s="458" t="s">
        <v>1850</v>
      </c>
      <c r="C31" s="183" t="s">
        <v>1860</v>
      </c>
      <c r="D31" s="213"/>
    </row>
    <row r="32" spans="1:154" s="213" customFormat="1" ht="25.15" customHeight="1">
      <c r="A32" s="550" t="s">
        <v>1951</v>
      </c>
      <c r="B32" s="551"/>
      <c r="C32" s="551"/>
      <c r="D32" s="552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  <c r="AA32" s="199"/>
      <c r="AB32" s="199"/>
      <c r="AC32" s="199"/>
      <c r="AD32" s="199"/>
      <c r="AE32" s="199"/>
      <c r="AF32" s="199"/>
      <c r="AG32" s="199"/>
      <c r="AH32" s="199"/>
      <c r="AI32" s="199"/>
      <c r="AJ32" s="199"/>
      <c r="AK32" s="199"/>
      <c r="AL32" s="199"/>
      <c r="AM32" s="199"/>
      <c r="AN32" s="199"/>
      <c r="AO32" s="199"/>
      <c r="AP32" s="199"/>
      <c r="AQ32" s="199"/>
      <c r="AR32" s="199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  <c r="CK32" s="199"/>
      <c r="CL32" s="199"/>
      <c r="CM32" s="199"/>
      <c r="CN32" s="199"/>
      <c r="CO32" s="199"/>
      <c r="CP32" s="199"/>
      <c r="CQ32" s="199"/>
      <c r="CR32" s="199"/>
      <c r="CS32" s="199"/>
      <c r="CT32" s="199"/>
      <c r="CU32" s="199"/>
      <c r="CV32" s="199"/>
      <c r="CW32" s="199"/>
      <c r="CX32" s="199"/>
      <c r="CY32" s="199"/>
      <c r="CZ32" s="199"/>
      <c r="DA32" s="199"/>
      <c r="DB32" s="199"/>
      <c r="DC32" s="199"/>
      <c r="DD32" s="199"/>
      <c r="DE32" s="199"/>
      <c r="DF32" s="199"/>
      <c r="DG32" s="199"/>
      <c r="DH32" s="199"/>
      <c r="DI32" s="199"/>
      <c r="DJ32" s="199"/>
      <c r="DK32" s="199"/>
      <c r="DL32" s="199"/>
      <c r="DM32" s="199"/>
      <c r="DN32" s="199"/>
      <c r="DO32" s="199"/>
      <c r="DP32" s="199"/>
      <c r="DQ32" s="199"/>
      <c r="DR32" s="199"/>
      <c r="DS32" s="199"/>
      <c r="DT32" s="199"/>
      <c r="DU32" s="199"/>
      <c r="DV32" s="199"/>
      <c r="DW32" s="199"/>
      <c r="DX32" s="199"/>
      <c r="DY32" s="199"/>
      <c r="DZ32" s="199"/>
      <c r="EA32" s="199"/>
      <c r="EB32" s="199"/>
      <c r="EC32" s="199"/>
      <c r="ED32" s="199"/>
      <c r="EE32" s="199"/>
      <c r="EF32" s="199"/>
      <c r="EG32" s="199"/>
      <c r="EH32" s="199"/>
      <c r="EI32" s="199"/>
      <c r="EJ32" s="199"/>
      <c r="EK32" s="199"/>
      <c r="EL32" s="199"/>
      <c r="EM32" s="199"/>
      <c r="EN32" s="199"/>
      <c r="EO32" s="199"/>
      <c r="EP32" s="199"/>
      <c r="EQ32" s="199"/>
      <c r="ER32" s="199"/>
      <c r="ES32" s="199"/>
      <c r="ET32" s="199"/>
      <c r="EU32" s="199"/>
      <c r="EV32" s="199"/>
      <c r="EW32" s="199"/>
      <c r="EX32" s="199"/>
    </row>
    <row r="33" spans="1:155" s="213" customFormat="1" ht="25.15" customHeight="1">
      <c r="A33" s="206">
        <v>1</v>
      </c>
      <c r="B33" s="212" t="s">
        <v>257</v>
      </c>
      <c r="C33" s="183" t="s">
        <v>1642</v>
      </c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199"/>
      <c r="AJ33" s="199"/>
      <c r="AK33" s="199"/>
      <c r="AL33" s="199"/>
      <c r="AM33" s="199"/>
      <c r="AN33" s="199"/>
      <c r="AO33" s="199"/>
      <c r="AP33" s="199"/>
      <c r="AQ33" s="199"/>
      <c r="AR33" s="199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  <c r="CK33" s="199"/>
      <c r="CL33" s="199"/>
      <c r="CM33" s="199"/>
      <c r="CN33" s="199"/>
      <c r="CO33" s="199"/>
      <c r="CP33" s="199"/>
      <c r="CQ33" s="199"/>
      <c r="CR33" s="199"/>
      <c r="CS33" s="199"/>
      <c r="CT33" s="199"/>
      <c r="CU33" s="199"/>
      <c r="CV33" s="199"/>
      <c r="CW33" s="199"/>
      <c r="CX33" s="199"/>
      <c r="CY33" s="199"/>
      <c r="CZ33" s="199"/>
      <c r="DA33" s="199"/>
      <c r="DB33" s="199"/>
      <c r="DC33" s="199"/>
      <c r="DD33" s="199"/>
      <c r="DE33" s="199"/>
      <c r="DF33" s="199"/>
      <c r="DG33" s="199"/>
      <c r="DH33" s="199"/>
      <c r="DI33" s="199"/>
      <c r="DJ33" s="199"/>
      <c r="DK33" s="199"/>
      <c r="DL33" s="199"/>
      <c r="DM33" s="199"/>
      <c r="DN33" s="199"/>
      <c r="DO33" s="199"/>
      <c r="DP33" s="199"/>
      <c r="DQ33" s="199"/>
      <c r="DR33" s="199"/>
      <c r="DS33" s="199"/>
      <c r="DT33" s="199"/>
      <c r="DU33" s="199"/>
      <c r="DV33" s="199"/>
      <c r="DW33" s="199"/>
      <c r="DX33" s="199"/>
      <c r="DY33" s="199"/>
      <c r="DZ33" s="199"/>
      <c r="EA33" s="199"/>
      <c r="EB33" s="199"/>
      <c r="EC33" s="199"/>
      <c r="ED33" s="199"/>
      <c r="EE33" s="199"/>
      <c r="EF33" s="199"/>
      <c r="EG33" s="199"/>
      <c r="EH33" s="199"/>
      <c r="EI33" s="199"/>
      <c r="EJ33" s="199"/>
      <c r="EK33" s="199"/>
      <c r="EL33" s="199"/>
      <c r="EM33" s="199"/>
      <c r="EN33" s="199"/>
      <c r="EO33" s="199"/>
      <c r="EP33" s="199"/>
      <c r="EQ33" s="199"/>
      <c r="ER33" s="199"/>
      <c r="ES33" s="199"/>
      <c r="ET33" s="199"/>
      <c r="EU33" s="199"/>
      <c r="EV33" s="199"/>
      <c r="EW33" s="199"/>
      <c r="EX33" s="199"/>
    </row>
    <row r="34" spans="1:155" s="213" customFormat="1" ht="25.15" customHeight="1">
      <c r="A34" s="206">
        <v>2</v>
      </c>
      <c r="B34" s="212" t="s">
        <v>257</v>
      </c>
      <c r="C34" s="183" t="s">
        <v>1617</v>
      </c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  <c r="AA34" s="199"/>
      <c r="AB34" s="199"/>
      <c r="AC34" s="199"/>
      <c r="AD34" s="199"/>
      <c r="AE34" s="199"/>
      <c r="AF34" s="199"/>
      <c r="AG34" s="199"/>
      <c r="AH34" s="199"/>
      <c r="AI34" s="199"/>
      <c r="AJ34" s="199"/>
      <c r="AK34" s="199"/>
      <c r="AL34" s="199"/>
      <c r="AM34" s="199"/>
      <c r="AN34" s="199"/>
      <c r="AO34" s="199"/>
      <c r="AP34" s="199"/>
      <c r="AQ34" s="199"/>
      <c r="AR34" s="199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  <c r="CK34" s="199"/>
      <c r="CL34" s="199"/>
      <c r="CM34" s="199"/>
      <c r="CN34" s="199"/>
      <c r="CO34" s="199"/>
      <c r="CP34" s="199"/>
      <c r="CQ34" s="199"/>
      <c r="CR34" s="199"/>
      <c r="CS34" s="199"/>
      <c r="CT34" s="199"/>
      <c r="CU34" s="199"/>
      <c r="CV34" s="199"/>
      <c r="CW34" s="199"/>
      <c r="CX34" s="199"/>
      <c r="CY34" s="199"/>
      <c r="CZ34" s="199"/>
      <c r="DA34" s="199"/>
      <c r="DB34" s="199"/>
      <c r="DC34" s="199"/>
      <c r="DD34" s="199"/>
      <c r="DE34" s="199"/>
      <c r="DF34" s="199"/>
      <c r="DG34" s="199"/>
      <c r="DH34" s="199"/>
      <c r="DI34" s="199"/>
      <c r="DJ34" s="199"/>
      <c r="DK34" s="199"/>
      <c r="DL34" s="199"/>
      <c r="DM34" s="199"/>
      <c r="DN34" s="199"/>
      <c r="DO34" s="199"/>
      <c r="DP34" s="199"/>
      <c r="DQ34" s="199"/>
      <c r="DR34" s="199"/>
      <c r="DS34" s="199"/>
      <c r="DT34" s="199"/>
      <c r="DU34" s="199"/>
      <c r="DV34" s="199"/>
      <c r="DW34" s="199"/>
      <c r="DX34" s="199"/>
      <c r="DY34" s="199"/>
      <c r="DZ34" s="199"/>
      <c r="EA34" s="199"/>
      <c r="EB34" s="199"/>
      <c r="EC34" s="199"/>
      <c r="ED34" s="199"/>
      <c r="EE34" s="199"/>
      <c r="EF34" s="199"/>
      <c r="EG34" s="199"/>
      <c r="EH34" s="199"/>
      <c r="EI34" s="199"/>
      <c r="EJ34" s="199"/>
      <c r="EK34" s="199"/>
      <c r="EL34" s="199"/>
      <c r="EM34" s="199"/>
      <c r="EN34" s="199"/>
      <c r="EO34" s="199"/>
      <c r="EP34" s="199"/>
      <c r="EQ34" s="199"/>
      <c r="ER34" s="199"/>
      <c r="ES34" s="199"/>
      <c r="ET34" s="199"/>
      <c r="EU34" s="199"/>
      <c r="EV34" s="199"/>
      <c r="EW34" s="199"/>
      <c r="EX34" s="199"/>
    </row>
    <row r="35" spans="1:155" s="213" customFormat="1" ht="25.15" customHeight="1">
      <c r="A35" s="553" t="s">
        <v>1947</v>
      </c>
      <c r="B35" s="554"/>
      <c r="C35" s="554"/>
      <c r="D35" s="555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199"/>
      <c r="AJ35" s="199"/>
      <c r="AK35" s="199"/>
      <c r="AL35" s="199"/>
      <c r="AM35" s="199"/>
      <c r="AN35" s="199"/>
      <c r="AO35" s="199"/>
      <c r="AP35" s="199"/>
      <c r="AQ35" s="199"/>
      <c r="AR35" s="199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  <c r="CK35" s="199"/>
      <c r="CL35" s="199"/>
      <c r="CM35" s="199"/>
      <c r="CN35" s="199"/>
      <c r="CO35" s="199"/>
      <c r="CP35" s="199"/>
      <c r="CQ35" s="199"/>
      <c r="CR35" s="199"/>
      <c r="CS35" s="199"/>
      <c r="CT35" s="199"/>
      <c r="CU35" s="199"/>
      <c r="CV35" s="199"/>
      <c r="CW35" s="199"/>
      <c r="CX35" s="199"/>
      <c r="CY35" s="199"/>
      <c r="CZ35" s="199"/>
      <c r="DA35" s="199"/>
      <c r="DB35" s="199"/>
      <c r="DC35" s="199"/>
      <c r="DD35" s="199"/>
      <c r="DE35" s="199"/>
      <c r="DF35" s="199"/>
      <c r="DG35" s="199"/>
      <c r="DH35" s="199"/>
      <c r="DI35" s="199"/>
      <c r="DJ35" s="199"/>
      <c r="DK35" s="199"/>
      <c r="DL35" s="199"/>
      <c r="DM35" s="199"/>
      <c r="DN35" s="199"/>
      <c r="DO35" s="199"/>
      <c r="DP35" s="199"/>
      <c r="DQ35" s="199"/>
      <c r="DR35" s="199"/>
      <c r="DS35" s="199"/>
      <c r="DT35" s="199"/>
      <c r="DU35" s="199"/>
      <c r="DV35" s="199"/>
      <c r="DW35" s="199"/>
      <c r="DX35" s="199"/>
      <c r="DY35" s="199"/>
      <c r="DZ35" s="199"/>
      <c r="EA35" s="199"/>
      <c r="EB35" s="199"/>
      <c r="EC35" s="199"/>
      <c r="ED35" s="199"/>
      <c r="EE35" s="199"/>
      <c r="EF35" s="199"/>
      <c r="EG35" s="199"/>
      <c r="EH35" s="199"/>
      <c r="EI35" s="199"/>
      <c r="EJ35" s="199"/>
      <c r="EK35" s="199"/>
      <c r="EL35" s="199"/>
      <c r="EM35" s="199"/>
      <c r="EN35" s="199"/>
      <c r="EO35" s="199"/>
      <c r="EP35" s="199"/>
      <c r="EQ35" s="199"/>
      <c r="ER35" s="199"/>
      <c r="ES35" s="199"/>
      <c r="ET35" s="199"/>
      <c r="EU35" s="199"/>
      <c r="EV35" s="199"/>
      <c r="EW35" s="199"/>
      <c r="EX35" s="199"/>
    </row>
    <row r="36" spans="1:155" s="213" customFormat="1" ht="25.15" customHeight="1">
      <c r="A36" s="206">
        <v>1</v>
      </c>
      <c r="B36" s="212" t="s">
        <v>112</v>
      </c>
      <c r="C36" s="206">
        <v>102226</v>
      </c>
      <c r="D36" s="384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  <c r="AF36" s="199"/>
      <c r="AG36" s="199"/>
      <c r="AH36" s="199"/>
      <c r="AI36" s="199"/>
      <c r="AJ36" s="199"/>
      <c r="AK36" s="199"/>
      <c r="AL36" s="199"/>
      <c r="AM36" s="199"/>
      <c r="AN36" s="199"/>
      <c r="AO36" s="199"/>
      <c r="AP36" s="199"/>
      <c r="AQ36" s="199"/>
      <c r="AR36" s="199"/>
      <c r="AS36" s="199"/>
      <c r="AT36" s="199"/>
      <c r="AU36" s="199"/>
      <c r="AV36" s="199"/>
      <c r="AW36" s="199"/>
      <c r="AX36" s="199"/>
      <c r="AY36" s="199"/>
      <c r="AZ36" s="199"/>
      <c r="BA36" s="199"/>
      <c r="BB36" s="199"/>
      <c r="BC36" s="199"/>
      <c r="BD36" s="199"/>
      <c r="BE36" s="199"/>
      <c r="BF36" s="199"/>
      <c r="BG36" s="199"/>
      <c r="BH36" s="199"/>
      <c r="BI36" s="199"/>
      <c r="BJ36" s="199"/>
      <c r="BK36" s="199"/>
      <c r="BL36" s="199"/>
      <c r="BM36" s="199"/>
      <c r="BN36" s="199"/>
      <c r="BO36" s="199"/>
      <c r="BP36" s="199"/>
      <c r="BQ36" s="199"/>
      <c r="BR36" s="199"/>
      <c r="BS36" s="199"/>
      <c r="BT36" s="199"/>
      <c r="BU36" s="199"/>
      <c r="BV36" s="199"/>
      <c r="BW36" s="199"/>
      <c r="BX36" s="199"/>
      <c r="BY36" s="199"/>
      <c r="BZ36" s="199"/>
      <c r="CA36" s="199"/>
      <c r="CB36" s="199"/>
      <c r="CC36" s="199"/>
      <c r="CD36" s="199"/>
      <c r="CE36" s="199"/>
      <c r="CF36" s="199"/>
      <c r="CG36" s="199"/>
      <c r="CH36" s="199"/>
      <c r="CI36" s="199"/>
      <c r="CJ36" s="199"/>
      <c r="CK36" s="199"/>
      <c r="CL36" s="199"/>
      <c r="CM36" s="199"/>
      <c r="CN36" s="199"/>
      <c r="CO36" s="199"/>
      <c r="CP36" s="199"/>
      <c r="CQ36" s="199"/>
      <c r="CR36" s="199"/>
      <c r="CS36" s="199"/>
      <c r="CT36" s="199"/>
      <c r="CU36" s="199"/>
      <c r="CV36" s="199"/>
      <c r="CW36" s="199"/>
      <c r="CX36" s="199"/>
      <c r="CY36" s="199"/>
      <c r="CZ36" s="199"/>
      <c r="DA36" s="199"/>
      <c r="DB36" s="199"/>
      <c r="DC36" s="199"/>
      <c r="DD36" s="199"/>
      <c r="DE36" s="199"/>
      <c r="DF36" s="199"/>
      <c r="DG36" s="199"/>
      <c r="DH36" s="199"/>
      <c r="DI36" s="199"/>
      <c r="DJ36" s="199"/>
      <c r="DK36" s="199"/>
      <c r="DL36" s="199"/>
      <c r="DM36" s="199"/>
      <c r="DN36" s="199"/>
      <c r="DO36" s="199"/>
      <c r="DP36" s="199"/>
      <c r="DQ36" s="199"/>
      <c r="DR36" s="199"/>
      <c r="DS36" s="199"/>
      <c r="DT36" s="199"/>
      <c r="DU36" s="199"/>
      <c r="DV36" s="199"/>
      <c r="DW36" s="199"/>
      <c r="DX36" s="199"/>
      <c r="DY36" s="199"/>
      <c r="DZ36" s="199"/>
      <c r="EA36" s="199"/>
      <c r="EB36" s="199"/>
      <c r="EC36" s="199"/>
      <c r="ED36" s="199"/>
      <c r="EE36" s="199"/>
      <c r="EF36" s="199"/>
      <c r="EG36" s="199"/>
      <c r="EH36" s="199"/>
      <c r="EI36" s="199"/>
      <c r="EJ36" s="199"/>
      <c r="EK36" s="199"/>
      <c r="EL36" s="199"/>
      <c r="EM36" s="199"/>
      <c r="EN36" s="199"/>
      <c r="EO36" s="199"/>
      <c r="EP36" s="199"/>
      <c r="EQ36" s="199"/>
      <c r="ER36" s="199"/>
      <c r="ES36" s="199"/>
      <c r="ET36" s="199"/>
      <c r="EU36" s="199"/>
      <c r="EV36" s="199"/>
      <c r="EW36" s="199"/>
      <c r="EX36" s="199"/>
    </row>
    <row r="37" spans="1:155" s="459" customFormat="1" ht="25.15" customHeight="1">
      <c r="A37" s="206">
        <v>2</v>
      </c>
      <c r="B37" s="212" t="s">
        <v>39</v>
      </c>
      <c r="C37" s="183" t="s">
        <v>40</v>
      </c>
      <c r="D37" s="213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99"/>
      <c r="AH37" s="199"/>
      <c r="AI37" s="199"/>
      <c r="AJ37" s="199"/>
      <c r="AK37" s="199"/>
      <c r="AL37" s="199"/>
      <c r="AM37" s="199"/>
      <c r="AN37" s="199"/>
      <c r="AO37" s="199"/>
      <c r="AP37" s="199"/>
      <c r="AQ37" s="199"/>
      <c r="AR37" s="199"/>
      <c r="AS37" s="199"/>
      <c r="AT37" s="199"/>
      <c r="AU37" s="199"/>
      <c r="AV37" s="199"/>
      <c r="AW37" s="199"/>
      <c r="AX37" s="199"/>
      <c r="AY37" s="199"/>
      <c r="AZ37" s="199"/>
      <c r="BA37" s="199"/>
      <c r="BB37" s="199"/>
      <c r="BC37" s="199"/>
      <c r="BD37" s="199"/>
      <c r="BE37" s="199"/>
      <c r="BF37" s="199"/>
      <c r="BG37" s="199"/>
      <c r="BH37" s="199"/>
      <c r="BI37" s="199"/>
      <c r="BJ37" s="199"/>
      <c r="BK37" s="199"/>
      <c r="BL37" s="199"/>
      <c r="BM37" s="199"/>
      <c r="BN37" s="199"/>
      <c r="BO37" s="199"/>
      <c r="BP37" s="199"/>
      <c r="BQ37" s="199"/>
      <c r="BR37" s="199"/>
      <c r="BS37" s="199"/>
      <c r="BT37" s="199"/>
      <c r="BU37" s="199"/>
      <c r="BV37" s="199"/>
      <c r="BW37" s="199"/>
      <c r="BX37" s="199"/>
      <c r="BY37" s="199"/>
      <c r="BZ37" s="199"/>
      <c r="CA37" s="199"/>
      <c r="CB37" s="199"/>
      <c r="CC37" s="199"/>
      <c r="CD37" s="199"/>
      <c r="CE37" s="199"/>
      <c r="CF37" s="199"/>
      <c r="CG37" s="199"/>
      <c r="CH37" s="199"/>
      <c r="CI37" s="199"/>
      <c r="CJ37" s="199"/>
      <c r="CK37" s="199"/>
      <c r="CL37" s="199"/>
      <c r="CM37" s="199"/>
      <c r="CN37" s="199"/>
      <c r="CO37" s="199"/>
      <c r="CP37" s="199"/>
      <c r="CQ37" s="199"/>
      <c r="CR37" s="199"/>
      <c r="CS37" s="199"/>
      <c r="CT37" s="199"/>
      <c r="CU37" s="199"/>
      <c r="CV37" s="199"/>
      <c r="CW37" s="199"/>
      <c r="CX37" s="199"/>
      <c r="CY37" s="199"/>
      <c r="CZ37" s="199"/>
      <c r="DA37" s="199"/>
      <c r="DB37" s="199"/>
      <c r="DC37" s="199"/>
      <c r="DD37" s="199"/>
      <c r="DE37" s="199"/>
      <c r="DF37" s="199"/>
      <c r="DG37" s="199"/>
      <c r="DH37" s="199"/>
      <c r="DI37" s="199"/>
      <c r="DJ37" s="199"/>
      <c r="DK37" s="199"/>
      <c r="DL37" s="199"/>
      <c r="DM37" s="199"/>
      <c r="DN37" s="199"/>
      <c r="DO37" s="199"/>
      <c r="DP37" s="199"/>
      <c r="DQ37" s="199"/>
      <c r="DR37" s="199"/>
      <c r="DS37" s="199"/>
      <c r="DT37" s="199"/>
      <c r="DU37" s="199"/>
      <c r="DV37" s="199"/>
      <c r="DW37" s="199"/>
      <c r="DX37" s="199"/>
      <c r="DY37" s="199"/>
      <c r="DZ37" s="199"/>
      <c r="EA37" s="199"/>
      <c r="EB37" s="199"/>
      <c r="EC37" s="199"/>
      <c r="ED37" s="199"/>
      <c r="EE37" s="199"/>
      <c r="EF37" s="199"/>
      <c r="EG37" s="199"/>
      <c r="EH37" s="199"/>
      <c r="EI37" s="199"/>
      <c r="EJ37" s="199"/>
      <c r="EK37" s="199"/>
      <c r="EL37" s="199"/>
      <c r="EM37" s="199"/>
      <c r="EN37" s="199"/>
      <c r="EO37" s="199"/>
      <c r="EP37" s="199"/>
      <c r="EQ37" s="199"/>
      <c r="ER37" s="199"/>
      <c r="ES37" s="199"/>
      <c r="ET37" s="199"/>
      <c r="EU37" s="199"/>
      <c r="EV37" s="199"/>
      <c r="EW37" s="199"/>
      <c r="EX37" s="199"/>
    </row>
    <row r="38" spans="1:155" ht="25.15" customHeight="1">
      <c r="A38" s="206">
        <v>3</v>
      </c>
      <c r="B38" s="212" t="s">
        <v>39</v>
      </c>
      <c r="C38" s="183" t="s">
        <v>47</v>
      </c>
      <c r="D38" s="213"/>
    </row>
    <row r="39" spans="1:155" ht="25.15" customHeight="1">
      <c r="A39" s="206">
        <v>4</v>
      </c>
      <c r="B39" s="212" t="s">
        <v>41</v>
      </c>
      <c r="C39" s="183" t="s">
        <v>49</v>
      </c>
      <c r="D39" s="213"/>
    </row>
    <row r="40" spans="1:155" ht="25.15" customHeight="1">
      <c r="A40" s="206">
        <v>5</v>
      </c>
      <c r="B40" s="212" t="s">
        <v>39</v>
      </c>
      <c r="C40" s="183" t="s">
        <v>50</v>
      </c>
      <c r="D40" s="213"/>
    </row>
    <row r="41" spans="1:155" s="99" customFormat="1" ht="25.15" customHeight="1">
      <c r="A41" s="206">
        <v>6</v>
      </c>
      <c r="B41" s="212" t="s">
        <v>39</v>
      </c>
      <c r="C41" s="206">
        <v>101374</v>
      </c>
      <c r="D41" s="213"/>
    </row>
    <row r="42" spans="1:155" ht="25.15" customHeight="1">
      <c r="A42" s="206">
        <v>7</v>
      </c>
      <c r="B42" s="212" t="s">
        <v>39</v>
      </c>
      <c r="C42" s="183" t="s">
        <v>64</v>
      </c>
      <c r="D42" s="213"/>
    </row>
    <row r="43" spans="1:155" s="213" customFormat="1" ht="25.15" customHeight="1">
      <c r="A43" s="206">
        <v>8</v>
      </c>
      <c r="B43" s="212" t="s">
        <v>41</v>
      </c>
      <c r="C43" s="206" t="s">
        <v>68</v>
      </c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  <c r="AA43" s="199"/>
      <c r="AB43" s="199"/>
      <c r="AC43" s="199"/>
      <c r="AD43" s="199"/>
      <c r="AE43" s="199"/>
      <c r="AF43" s="199"/>
      <c r="AG43" s="199"/>
      <c r="AH43" s="199"/>
      <c r="AI43" s="199"/>
      <c r="AJ43" s="199"/>
      <c r="AK43" s="199"/>
      <c r="AL43" s="199"/>
      <c r="AM43" s="199"/>
      <c r="AN43" s="199"/>
      <c r="AO43" s="199"/>
      <c r="AP43" s="199"/>
      <c r="AQ43" s="199"/>
      <c r="AR43" s="199"/>
      <c r="AS43" s="199"/>
      <c r="AT43" s="199"/>
      <c r="AU43" s="199"/>
      <c r="AV43" s="199"/>
      <c r="AW43" s="199"/>
      <c r="AX43" s="199"/>
      <c r="AY43" s="199"/>
      <c r="AZ43" s="199"/>
      <c r="BA43" s="199"/>
      <c r="BB43" s="199"/>
      <c r="BC43" s="199"/>
      <c r="BD43" s="199"/>
      <c r="BE43" s="199"/>
      <c r="BF43" s="199"/>
      <c r="BG43" s="199"/>
      <c r="BH43" s="199"/>
      <c r="BI43" s="199"/>
      <c r="BJ43" s="199"/>
      <c r="BK43" s="199"/>
      <c r="BL43" s="199"/>
      <c r="BM43" s="199"/>
      <c r="BN43" s="199"/>
      <c r="BO43" s="199"/>
      <c r="BP43" s="199"/>
      <c r="BQ43" s="199"/>
      <c r="BR43" s="199"/>
      <c r="BS43" s="199"/>
      <c r="BT43" s="199"/>
      <c r="BU43" s="199"/>
      <c r="BV43" s="199"/>
      <c r="BW43" s="199"/>
      <c r="BX43" s="199"/>
      <c r="BY43" s="199"/>
      <c r="BZ43" s="199"/>
      <c r="CA43" s="199"/>
      <c r="CB43" s="199"/>
      <c r="CC43" s="199"/>
      <c r="CD43" s="199"/>
      <c r="CE43" s="199"/>
      <c r="CF43" s="199"/>
      <c r="CG43" s="199"/>
      <c r="CH43" s="199"/>
      <c r="CI43" s="199"/>
      <c r="CJ43" s="199"/>
      <c r="CK43" s="199"/>
      <c r="CL43" s="199"/>
      <c r="CM43" s="199"/>
      <c r="CN43" s="199"/>
      <c r="CO43" s="199"/>
      <c r="CP43" s="199"/>
      <c r="CQ43" s="199"/>
      <c r="CR43" s="199"/>
      <c r="CS43" s="199"/>
      <c r="CT43" s="199"/>
      <c r="CU43" s="199"/>
      <c r="CV43" s="199"/>
      <c r="CW43" s="199"/>
      <c r="CX43" s="199"/>
      <c r="CY43" s="199"/>
      <c r="CZ43" s="199"/>
      <c r="DA43" s="199"/>
      <c r="DB43" s="199"/>
      <c r="DC43" s="199"/>
      <c r="DD43" s="199"/>
      <c r="DE43" s="199"/>
      <c r="DF43" s="199"/>
      <c r="DG43" s="199"/>
      <c r="DH43" s="199"/>
      <c r="DI43" s="199"/>
      <c r="DJ43" s="199"/>
      <c r="DK43" s="199"/>
      <c r="DL43" s="199"/>
      <c r="DM43" s="199"/>
      <c r="DN43" s="199"/>
      <c r="DO43" s="199"/>
      <c r="DP43" s="199"/>
      <c r="DQ43" s="199"/>
      <c r="DR43" s="199"/>
      <c r="DS43" s="199"/>
      <c r="DT43" s="199"/>
      <c r="DU43" s="199"/>
      <c r="DV43" s="199"/>
      <c r="DW43" s="199"/>
      <c r="DX43" s="199"/>
      <c r="DY43" s="199"/>
      <c r="DZ43" s="199"/>
      <c r="EA43" s="199"/>
      <c r="EB43" s="199"/>
      <c r="EC43" s="199"/>
      <c r="ED43" s="199"/>
      <c r="EE43" s="199"/>
      <c r="EF43" s="199"/>
      <c r="EG43" s="199"/>
      <c r="EH43" s="199"/>
      <c r="EI43" s="199"/>
      <c r="EJ43" s="199"/>
      <c r="EK43" s="199"/>
      <c r="EL43" s="199"/>
      <c r="EM43" s="199"/>
      <c r="EN43" s="199"/>
      <c r="EO43" s="199"/>
      <c r="EP43" s="199"/>
      <c r="EQ43" s="199"/>
      <c r="ER43" s="199"/>
      <c r="ES43" s="199"/>
      <c r="ET43" s="199"/>
      <c r="EU43" s="199"/>
      <c r="EV43" s="199"/>
      <c r="EW43" s="199"/>
      <c r="EX43" s="199"/>
      <c r="EY43" s="199"/>
    </row>
    <row r="44" spans="1:155" s="213" customFormat="1" ht="25.15" customHeight="1">
      <c r="A44" s="206">
        <v>9</v>
      </c>
      <c r="B44" s="212" t="s">
        <v>41</v>
      </c>
      <c r="C44" s="183" t="s">
        <v>69</v>
      </c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  <c r="AA44" s="199"/>
      <c r="AB44" s="199"/>
      <c r="AC44" s="199"/>
      <c r="AD44" s="199"/>
      <c r="AE44" s="199"/>
      <c r="AF44" s="199"/>
      <c r="AG44" s="199"/>
      <c r="AH44" s="199"/>
      <c r="AI44" s="199"/>
      <c r="AJ44" s="199"/>
      <c r="AK44" s="199"/>
      <c r="AL44" s="199"/>
      <c r="AM44" s="199"/>
      <c r="AN44" s="199"/>
      <c r="AO44" s="199"/>
      <c r="AP44" s="199"/>
      <c r="AQ44" s="199"/>
      <c r="AR44" s="199"/>
      <c r="AS44" s="199"/>
      <c r="AT44" s="199"/>
      <c r="AU44" s="199"/>
      <c r="AV44" s="199"/>
      <c r="AW44" s="199"/>
      <c r="AX44" s="199"/>
      <c r="AY44" s="199"/>
      <c r="AZ44" s="199"/>
      <c r="BA44" s="199"/>
      <c r="BB44" s="199"/>
      <c r="BC44" s="199"/>
      <c r="BD44" s="199"/>
      <c r="BE44" s="199"/>
      <c r="BF44" s="199"/>
      <c r="BG44" s="199"/>
      <c r="BH44" s="199"/>
      <c r="BI44" s="199"/>
      <c r="BJ44" s="199"/>
      <c r="BK44" s="199"/>
      <c r="BL44" s="199"/>
      <c r="BM44" s="199"/>
      <c r="BN44" s="199"/>
      <c r="BO44" s="199"/>
      <c r="BP44" s="199"/>
      <c r="BQ44" s="199"/>
      <c r="BR44" s="199"/>
      <c r="BS44" s="199"/>
      <c r="BT44" s="199"/>
      <c r="BU44" s="199"/>
      <c r="BV44" s="199"/>
      <c r="BW44" s="199"/>
      <c r="BX44" s="199"/>
      <c r="BY44" s="199"/>
      <c r="BZ44" s="199"/>
      <c r="CA44" s="199"/>
      <c r="CB44" s="199"/>
      <c r="CC44" s="199"/>
      <c r="CD44" s="199"/>
      <c r="CE44" s="199"/>
      <c r="CF44" s="199"/>
      <c r="CG44" s="199"/>
      <c r="CH44" s="199"/>
      <c r="CI44" s="199"/>
      <c r="CJ44" s="199"/>
      <c r="CK44" s="199"/>
      <c r="CL44" s="199"/>
      <c r="CM44" s="199"/>
      <c r="CN44" s="199"/>
      <c r="CO44" s="199"/>
      <c r="CP44" s="199"/>
      <c r="CQ44" s="199"/>
      <c r="CR44" s="199"/>
      <c r="CS44" s="199"/>
      <c r="CT44" s="199"/>
      <c r="CU44" s="199"/>
      <c r="CV44" s="199"/>
      <c r="CW44" s="199"/>
      <c r="CX44" s="199"/>
      <c r="CY44" s="199"/>
      <c r="CZ44" s="199"/>
      <c r="DA44" s="199"/>
      <c r="DB44" s="199"/>
      <c r="DC44" s="199"/>
      <c r="DD44" s="199"/>
      <c r="DE44" s="199"/>
      <c r="DF44" s="199"/>
      <c r="DG44" s="199"/>
      <c r="DH44" s="199"/>
      <c r="DI44" s="199"/>
      <c r="DJ44" s="199"/>
      <c r="DK44" s="199"/>
      <c r="DL44" s="199"/>
      <c r="DM44" s="199"/>
      <c r="DN44" s="199"/>
      <c r="DO44" s="199"/>
      <c r="DP44" s="199"/>
      <c r="DQ44" s="199"/>
      <c r="DR44" s="199"/>
      <c r="DS44" s="199"/>
      <c r="DT44" s="199"/>
      <c r="DU44" s="199"/>
      <c r="DV44" s="199"/>
      <c r="DW44" s="199"/>
      <c r="DX44" s="199"/>
      <c r="DY44" s="199"/>
      <c r="DZ44" s="199"/>
      <c r="EA44" s="199"/>
      <c r="EB44" s="199"/>
      <c r="EC44" s="199"/>
      <c r="ED44" s="199"/>
      <c r="EE44" s="199"/>
      <c r="EF44" s="199"/>
      <c r="EG44" s="199"/>
      <c r="EH44" s="199"/>
      <c r="EI44" s="199"/>
      <c r="EJ44" s="199"/>
      <c r="EK44" s="199"/>
      <c r="EL44" s="199"/>
      <c r="EM44" s="199"/>
      <c r="EN44" s="199"/>
      <c r="EO44" s="199"/>
      <c r="EP44" s="199"/>
      <c r="EQ44" s="199"/>
      <c r="ER44" s="199"/>
      <c r="ES44" s="199"/>
      <c r="ET44" s="199"/>
      <c r="EU44" s="199"/>
      <c r="EV44" s="199"/>
      <c r="EW44" s="199"/>
      <c r="EX44" s="199"/>
      <c r="EY44" s="199"/>
    </row>
    <row r="45" spans="1:155" s="213" customFormat="1" ht="25.15" customHeight="1">
      <c r="A45" s="206">
        <v>10</v>
      </c>
      <c r="B45" s="212" t="s">
        <v>41</v>
      </c>
      <c r="C45" s="183" t="s">
        <v>73</v>
      </c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  <c r="AA45" s="199"/>
      <c r="AB45" s="199"/>
      <c r="AC45" s="199"/>
      <c r="AD45" s="199"/>
      <c r="AE45" s="199"/>
      <c r="AF45" s="199"/>
      <c r="AG45" s="199"/>
      <c r="AH45" s="199"/>
      <c r="AI45" s="199"/>
      <c r="AJ45" s="199"/>
      <c r="AK45" s="199"/>
      <c r="AL45" s="199"/>
      <c r="AM45" s="199"/>
      <c r="AN45" s="199"/>
      <c r="AO45" s="199"/>
      <c r="AP45" s="199"/>
      <c r="AQ45" s="199"/>
      <c r="AR45" s="199"/>
      <c r="AS45" s="199"/>
      <c r="AT45" s="199"/>
      <c r="AU45" s="199"/>
      <c r="AV45" s="199"/>
      <c r="AW45" s="199"/>
      <c r="AX45" s="199"/>
      <c r="AY45" s="199"/>
      <c r="AZ45" s="199"/>
      <c r="BA45" s="199"/>
      <c r="BB45" s="199"/>
      <c r="BC45" s="199"/>
      <c r="BD45" s="199"/>
      <c r="BE45" s="199"/>
      <c r="BF45" s="199"/>
      <c r="BG45" s="199"/>
      <c r="BH45" s="199"/>
      <c r="BI45" s="199"/>
      <c r="BJ45" s="199"/>
      <c r="BK45" s="199"/>
      <c r="BL45" s="199"/>
      <c r="BM45" s="199"/>
      <c r="BN45" s="199"/>
      <c r="BO45" s="199"/>
      <c r="BP45" s="199"/>
      <c r="BQ45" s="199"/>
      <c r="BR45" s="199"/>
      <c r="BS45" s="199"/>
      <c r="BT45" s="199"/>
      <c r="BU45" s="199"/>
      <c r="BV45" s="199"/>
      <c r="BW45" s="199"/>
      <c r="BX45" s="199"/>
      <c r="BY45" s="199"/>
      <c r="BZ45" s="199"/>
      <c r="CA45" s="199"/>
      <c r="CB45" s="199"/>
      <c r="CC45" s="199"/>
      <c r="CD45" s="199"/>
      <c r="CE45" s="199"/>
      <c r="CF45" s="199"/>
      <c r="CG45" s="199"/>
      <c r="CH45" s="199"/>
      <c r="CI45" s="199"/>
      <c r="CJ45" s="199"/>
      <c r="CK45" s="199"/>
      <c r="CL45" s="199"/>
      <c r="CM45" s="199"/>
      <c r="CN45" s="199"/>
      <c r="CO45" s="199"/>
      <c r="CP45" s="199"/>
      <c r="CQ45" s="199"/>
      <c r="CR45" s="199"/>
      <c r="CS45" s="199"/>
      <c r="CT45" s="199"/>
      <c r="CU45" s="199"/>
      <c r="CV45" s="199"/>
      <c r="CW45" s="199"/>
      <c r="CX45" s="199"/>
      <c r="CY45" s="199"/>
      <c r="CZ45" s="199"/>
      <c r="DA45" s="199"/>
      <c r="DB45" s="199"/>
      <c r="DC45" s="199"/>
      <c r="DD45" s="199"/>
      <c r="DE45" s="199"/>
      <c r="DF45" s="199"/>
      <c r="DG45" s="199"/>
      <c r="DH45" s="199"/>
      <c r="DI45" s="199"/>
      <c r="DJ45" s="199"/>
      <c r="DK45" s="199"/>
      <c r="DL45" s="199"/>
      <c r="DM45" s="199"/>
      <c r="DN45" s="199"/>
      <c r="DO45" s="199"/>
      <c r="DP45" s="199"/>
      <c r="DQ45" s="199"/>
      <c r="DR45" s="199"/>
      <c r="DS45" s="199"/>
      <c r="DT45" s="199"/>
      <c r="DU45" s="199"/>
      <c r="DV45" s="199"/>
      <c r="DW45" s="199"/>
      <c r="DX45" s="199"/>
      <c r="DY45" s="199"/>
      <c r="DZ45" s="199"/>
      <c r="EA45" s="199"/>
      <c r="EB45" s="199"/>
      <c r="EC45" s="199"/>
      <c r="ED45" s="199"/>
      <c r="EE45" s="199"/>
      <c r="EF45" s="199"/>
      <c r="EG45" s="199"/>
      <c r="EH45" s="199"/>
      <c r="EI45" s="199"/>
      <c r="EJ45" s="199"/>
      <c r="EK45" s="199"/>
      <c r="EL45" s="199"/>
      <c r="EM45" s="199"/>
      <c r="EN45" s="199"/>
      <c r="EO45" s="199"/>
      <c r="EP45" s="199"/>
      <c r="EQ45" s="199"/>
      <c r="ER45" s="199"/>
      <c r="ES45" s="199"/>
      <c r="ET45" s="199"/>
      <c r="EU45" s="199"/>
      <c r="EV45" s="199"/>
      <c r="EW45" s="199"/>
      <c r="EX45" s="199"/>
      <c r="EY45" s="199"/>
    </row>
    <row r="46" spans="1:155" s="213" customFormat="1" ht="25.15" customHeight="1">
      <c r="A46" s="206">
        <v>11</v>
      </c>
      <c r="B46" s="212" t="s">
        <v>41</v>
      </c>
      <c r="C46" s="206">
        <v>101571</v>
      </c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  <c r="AB46" s="199"/>
      <c r="AC46" s="199"/>
      <c r="AD46" s="199"/>
      <c r="AE46" s="199"/>
      <c r="AF46" s="199"/>
      <c r="AG46" s="199"/>
      <c r="AH46" s="199"/>
      <c r="AI46" s="199"/>
      <c r="AJ46" s="199"/>
      <c r="AK46" s="199"/>
      <c r="AL46" s="199"/>
      <c r="AM46" s="199"/>
      <c r="AN46" s="199"/>
      <c r="AO46" s="199"/>
      <c r="AP46" s="199"/>
      <c r="AQ46" s="199"/>
      <c r="AR46" s="199"/>
      <c r="AS46" s="199"/>
      <c r="AT46" s="199"/>
      <c r="AU46" s="199"/>
      <c r="AV46" s="199"/>
      <c r="AW46" s="199"/>
      <c r="AX46" s="199"/>
      <c r="AY46" s="199"/>
      <c r="AZ46" s="199"/>
      <c r="BA46" s="199"/>
      <c r="BB46" s="199"/>
      <c r="BC46" s="199"/>
      <c r="BD46" s="199"/>
      <c r="BE46" s="199"/>
      <c r="BF46" s="199"/>
      <c r="BG46" s="199"/>
      <c r="BH46" s="199"/>
      <c r="BI46" s="199"/>
      <c r="BJ46" s="199"/>
      <c r="BK46" s="199"/>
      <c r="BL46" s="199"/>
      <c r="BM46" s="199"/>
      <c r="BN46" s="199"/>
      <c r="BO46" s="199"/>
      <c r="BP46" s="199"/>
      <c r="BQ46" s="199"/>
      <c r="BR46" s="199"/>
      <c r="BS46" s="199"/>
      <c r="BT46" s="199"/>
      <c r="BU46" s="199"/>
      <c r="BV46" s="199"/>
      <c r="BW46" s="199"/>
      <c r="BX46" s="199"/>
      <c r="BY46" s="199"/>
      <c r="BZ46" s="199"/>
      <c r="CA46" s="199"/>
      <c r="CB46" s="199"/>
      <c r="CC46" s="199"/>
      <c r="CD46" s="199"/>
      <c r="CE46" s="199"/>
      <c r="CF46" s="199"/>
      <c r="CG46" s="199"/>
      <c r="CH46" s="199"/>
      <c r="CI46" s="199"/>
      <c r="CJ46" s="199"/>
      <c r="CK46" s="199"/>
      <c r="CL46" s="199"/>
      <c r="CM46" s="199"/>
      <c r="CN46" s="199"/>
      <c r="CO46" s="199"/>
      <c r="CP46" s="199"/>
      <c r="CQ46" s="199"/>
      <c r="CR46" s="199"/>
      <c r="CS46" s="199"/>
      <c r="CT46" s="199"/>
      <c r="CU46" s="199"/>
      <c r="CV46" s="199"/>
      <c r="CW46" s="199"/>
      <c r="CX46" s="199"/>
      <c r="CY46" s="199"/>
      <c r="CZ46" s="199"/>
      <c r="DA46" s="199"/>
      <c r="DB46" s="199"/>
      <c r="DC46" s="199"/>
      <c r="DD46" s="199"/>
      <c r="DE46" s="199"/>
      <c r="DF46" s="199"/>
      <c r="DG46" s="199"/>
      <c r="DH46" s="199"/>
      <c r="DI46" s="199"/>
      <c r="DJ46" s="199"/>
      <c r="DK46" s="199"/>
      <c r="DL46" s="199"/>
      <c r="DM46" s="199"/>
      <c r="DN46" s="199"/>
      <c r="DO46" s="199"/>
      <c r="DP46" s="199"/>
      <c r="DQ46" s="199"/>
      <c r="DR46" s="199"/>
      <c r="DS46" s="199"/>
      <c r="DT46" s="199"/>
      <c r="DU46" s="199"/>
      <c r="DV46" s="199"/>
      <c r="DW46" s="199"/>
      <c r="DX46" s="199"/>
      <c r="DY46" s="199"/>
      <c r="DZ46" s="199"/>
      <c r="EA46" s="199"/>
      <c r="EB46" s="199"/>
      <c r="EC46" s="199"/>
      <c r="ED46" s="199"/>
      <c r="EE46" s="199"/>
      <c r="EF46" s="199"/>
      <c r="EG46" s="199"/>
      <c r="EH46" s="199"/>
      <c r="EI46" s="199"/>
      <c r="EJ46" s="199"/>
      <c r="EK46" s="199"/>
      <c r="EL46" s="199"/>
      <c r="EM46" s="199"/>
      <c r="EN46" s="199"/>
      <c r="EO46" s="199"/>
      <c r="EP46" s="199"/>
      <c r="EQ46" s="199"/>
      <c r="ER46" s="199"/>
      <c r="ES46" s="199"/>
      <c r="ET46" s="199"/>
      <c r="EU46" s="199"/>
      <c r="EV46" s="199"/>
      <c r="EW46" s="199"/>
      <c r="EX46" s="199"/>
      <c r="EY46" s="199"/>
    </row>
    <row r="47" spans="1:155" s="213" customFormat="1" ht="25.15" customHeight="1">
      <c r="A47" s="206">
        <v>12</v>
      </c>
      <c r="B47" s="212" t="s">
        <v>52</v>
      </c>
      <c r="C47" s="183" t="s">
        <v>87</v>
      </c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  <c r="AA47" s="199"/>
      <c r="AB47" s="199"/>
      <c r="AC47" s="199"/>
      <c r="AD47" s="199"/>
      <c r="AE47" s="199"/>
      <c r="AF47" s="199"/>
      <c r="AG47" s="199"/>
      <c r="AH47" s="199"/>
      <c r="AI47" s="199"/>
      <c r="AJ47" s="199"/>
      <c r="AK47" s="199"/>
      <c r="AL47" s="199"/>
      <c r="AM47" s="199"/>
      <c r="AN47" s="199"/>
      <c r="AO47" s="199"/>
      <c r="AP47" s="199"/>
      <c r="AQ47" s="199"/>
      <c r="AR47" s="199"/>
      <c r="AS47" s="199"/>
      <c r="AT47" s="199"/>
      <c r="AU47" s="199"/>
      <c r="AV47" s="199"/>
      <c r="AW47" s="199"/>
      <c r="AX47" s="199"/>
      <c r="AY47" s="199"/>
      <c r="AZ47" s="199"/>
      <c r="BA47" s="199"/>
      <c r="BB47" s="199"/>
      <c r="BC47" s="199"/>
      <c r="BD47" s="199"/>
      <c r="BE47" s="199"/>
      <c r="BF47" s="199"/>
      <c r="BG47" s="199"/>
      <c r="BH47" s="199"/>
      <c r="BI47" s="199"/>
      <c r="BJ47" s="199"/>
      <c r="BK47" s="199"/>
      <c r="BL47" s="199"/>
      <c r="BM47" s="199"/>
      <c r="BN47" s="199"/>
      <c r="BO47" s="199"/>
      <c r="BP47" s="199"/>
      <c r="BQ47" s="199"/>
      <c r="BR47" s="199"/>
      <c r="BS47" s="199"/>
      <c r="BT47" s="199"/>
      <c r="BU47" s="199"/>
      <c r="BV47" s="199"/>
      <c r="BW47" s="199"/>
      <c r="BX47" s="199"/>
      <c r="BY47" s="199"/>
      <c r="BZ47" s="199"/>
      <c r="CA47" s="199"/>
      <c r="CB47" s="199"/>
      <c r="CC47" s="199"/>
      <c r="CD47" s="199"/>
      <c r="CE47" s="199"/>
      <c r="CF47" s="199"/>
      <c r="CG47" s="199"/>
      <c r="CH47" s="199"/>
      <c r="CI47" s="199"/>
      <c r="CJ47" s="199"/>
      <c r="CK47" s="199"/>
      <c r="CL47" s="199"/>
      <c r="CM47" s="199"/>
      <c r="CN47" s="199"/>
      <c r="CO47" s="199"/>
      <c r="CP47" s="199"/>
      <c r="CQ47" s="199"/>
      <c r="CR47" s="199"/>
      <c r="CS47" s="199"/>
      <c r="CT47" s="199"/>
      <c r="CU47" s="199"/>
      <c r="CV47" s="199"/>
      <c r="CW47" s="199"/>
      <c r="CX47" s="199"/>
      <c r="CY47" s="199"/>
      <c r="CZ47" s="199"/>
      <c r="DA47" s="199"/>
      <c r="DB47" s="199"/>
      <c r="DC47" s="199"/>
      <c r="DD47" s="199"/>
      <c r="DE47" s="199"/>
      <c r="DF47" s="199"/>
      <c r="DG47" s="199"/>
      <c r="DH47" s="199"/>
      <c r="DI47" s="199"/>
      <c r="DJ47" s="199"/>
      <c r="DK47" s="199"/>
      <c r="DL47" s="199"/>
      <c r="DM47" s="199"/>
      <c r="DN47" s="199"/>
      <c r="DO47" s="199"/>
      <c r="DP47" s="199"/>
      <c r="DQ47" s="199"/>
      <c r="DR47" s="199"/>
      <c r="DS47" s="199"/>
      <c r="DT47" s="199"/>
      <c r="DU47" s="199"/>
      <c r="DV47" s="199"/>
      <c r="DW47" s="199"/>
      <c r="DX47" s="199"/>
      <c r="DY47" s="199"/>
      <c r="DZ47" s="199"/>
      <c r="EA47" s="199"/>
      <c r="EB47" s="199"/>
      <c r="EC47" s="199"/>
      <c r="ED47" s="199"/>
      <c r="EE47" s="199"/>
      <c r="EF47" s="199"/>
      <c r="EG47" s="199"/>
      <c r="EH47" s="199"/>
      <c r="EI47" s="199"/>
      <c r="EJ47" s="199"/>
      <c r="EK47" s="199"/>
      <c r="EL47" s="199"/>
      <c r="EM47" s="199"/>
      <c r="EN47" s="199"/>
      <c r="EO47" s="199"/>
      <c r="EP47" s="199"/>
      <c r="EQ47" s="199"/>
      <c r="ER47" s="199"/>
      <c r="ES47" s="199"/>
      <c r="ET47" s="199"/>
      <c r="EU47" s="199"/>
      <c r="EV47" s="199"/>
      <c r="EW47" s="199"/>
      <c r="EX47" s="199"/>
      <c r="EY47" s="199"/>
    </row>
    <row r="48" spans="1:155" s="213" customFormat="1" ht="25.15" customHeight="1">
      <c r="A48" s="206">
        <v>13</v>
      </c>
      <c r="B48" s="212" t="s">
        <v>52</v>
      </c>
      <c r="C48" s="183">
        <v>101751</v>
      </c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  <c r="AC48" s="199"/>
      <c r="AD48" s="199"/>
      <c r="AE48" s="199"/>
      <c r="AF48" s="199"/>
      <c r="AG48" s="199"/>
      <c r="AH48" s="199"/>
      <c r="AI48" s="199"/>
      <c r="AJ48" s="199"/>
      <c r="AK48" s="199"/>
      <c r="AL48" s="199"/>
      <c r="AM48" s="199"/>
      <c r="AN48" s="199"/>
      <c r="AO48" s="199"/>
      <c r="AP48" s="199"/>
      <c r="AQ48" s="199"/>
      <c r="AR48" s="199"/>
      <c r="AS48" s="199"/>
      <c r="AT48" s="199"/>
      <c r="AU48" s="199"/>
      <c r="AV48" s="199"/>
      <c r="AW48" s="199"/>
      <c r="AX48" s="199"/>
      <c r="AY48" s="199"/>
      <c r="AZ48" s="199"/>
      <c r="BA48" s="199"/>
      <c r="BB48" s="199"/>
      <c r="BC48" s="199"/>
      <c r="BD48" s="199"/>
      <c r="BE48" s="199"/>
      <c r="BF48" s="199"/>
      <c r="BG48" s="199"/>
      <c r="BH48" s="199"/>
      <c r="BI48" s="199"/>
      <c r="BJ48" s="199"/>
      <c r="BK48" s="199"/>
      <c r="BL48" s="199"/>
      <c r="BM48" s="199"/>
      <c r="BN48" s="199"/>
      <c r="BO48" s="199"/>
      <c r="BP48" s="199"/>
      <c r="BQ48" s="199"/>
      <c r="BR48" s="199"/>
      <c r="BS48" s="199"/>
      <c r="BT48" s="199"/>
      <c r="BU48" s="199"/>
      <c r="BV48" s="199"/>
      <c r="BW48" s="199"/>
      <c r="BX48" s="199"/>
      <c r="BY48" s="199"/>
      <c r="BZ48" s="199"/>
      <c r="CA48" s="199"/>
      <c r="CB48" s="199"/>
      <c r="CC48" s="199"/>
      <c r="CD48" s="199"/>
      <c r="CE48" s="199"/>
      <c r="CF48" s="199"/>
      <c r="CG48" s="199"/>
      <c r="CH48" s="199"/>
      <c r="CI48" s="199"/>
      <c r="CJ48" s="199"/>
      <c r="CK48" s="199"/>
      <c r="CL48" s="199"/>
      <c r="CM48" s="199"/>
      <c r="CN48" s="199"/>
      <c r="CO48" s="199"/>
      <c r="CP48" s="199"/>
      <c r="CQ48" s="199"/>
      <c r="CR48" s="199"/>
      <c r="CS48" s="199"/>
      <c r="CT48" s="199"/>
      <c r="CU48" s="199"/>
      <c r="CV48" s="199"/>
      <c r="CW48" s="199"/>
      <c r="CX48" s="199"/>
      <c r="CY48" s="199"/>
      <c r="CZ48" s="199"/>
      <c r="DA48" s="199"/>
      <c r="DB48" s="199"/>
      <c r="DC48" s="199"/>
      <c r="DD48" s="199"/>
      <c r="DE48" s="199"/>
      <c r="DF48" s="199"/>
      <c r="DG48" s="199"/>
      <c r="DH48" s="199"/>
      <c r="DI48" s="199"/>
      <c r="DJ48" s="199"/>
      <c r="DK48" s="199"/>
      <c r="DL48" s="199"/>
      <c r="DM48" s="199"/>
      <c r="DN48" s="199"/>
      <c r="DO48" s="199"/>
      <c r="DP48" s="199"/>
      <c r="DQ48" s="199"/>
      <c r="DR48" s="199"/>
      <c r="DS48" s="199"/>
      <c r="DT48" s="199"/>
      <c r="DU48" s="199"/>
      <c r="DV48" s="199"/>
      <c r="DW48" s="199"/>
      <c r="DX48" s="199"/>
      <c r="DY48" s="199"/>
      <c r="DZ48" s="199"/>
      <c r="EA48" s="199"/>
      <c r="EB48" s="199"/>
      <c r="EC48" s="199"/>
      <c r="ED48" s="199"/>
      <c r="EE48" s="199"/>
      <c r="EF48" s="199"/>
      <c r="EG48" s="199"/>
      <c r="EH48" s="199"/>
      <c r="EI48" s="199"/>
      <c r="EJ48" s="199"/>
      <c r="EK48" s="199"/>
      <c r="EL48" s="199"/>
      <c r="EM48" s="199"/>
      <c r="EN48" s="199"/>
      <c r="EO48" s="199"/>
      <c r="EP48" s="199"/>
      <c r="EQ48" s="199"/>
      <c r="ER48" s="199"/>
      <c r="ES48" s="199"/>
      <c r="ET48" s="199"/>
      <c r="EU48" s="199"/>
      <c r="EV48" s="199"/>
      <c r="EW48" s="199"/>
      <c r="EX48" s="199"/>
      <c r="EY48" s="199"/>
    </row>
    <row r="49" spans="1:155" s="213" customFormat="1" ht="25.15" customHeight="1">
      <c r="A49" s="206">
        <v>14</v>
      </c>
      <c r="B49" s="212" t="s">
        <v>52</v>
      </c>
      <c r="C49" s="183" t="s">
        <v>92</v>
      </c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199"/>
      <c r="AA49" s="199"/>
      <c r="AB49" s="199"/>
      <c r="AC49" s="199"/>
      <c r="AD49" s="199"/>
      <c r="AE49" s="199"/>
      <c r="AF49" s="199"/>
      <c r="AG49" s="199"/>
      <c r="AH49" s="199"/>
      <c r="AI49" s="199"/>
      <c r="AJ49" s="199"/>
      <c r="AK49" s="199"/>
      <c r="AL49" s="199"/>
      <c r="AM49" s="199"/>
      <c r="AN49" s="199"/>
      <c r="AO49" s="199"/>
      <c r="AP49" s="199"/>
      <c r="AQ49" s="199"/>
      <c r="AR49" s="199"/>
      <c r="AS49" s="199"/>
      <c r="AT49" s="199"/>
      <c r="AU49" s="199"/>
      <c r="AV49" s="199"/>
      <c r="AW49" s="199"/>
      <c r="AX49" s="199"/>
      <c r="AY49" s="199"/>
      <c r="AZ49" s="199"/>
      <c r="BA49" s="199"/>
      <c r="BB49" s="199"/>
      <c r="BC49" s="199"/>
      <c r="BD49" s="199"/>
      <c r="BE49" s="199"/>
      <c r="BF49" s="199"/>
      <c r="BG49" s="199"/>
      <c r="BH49" s="199"/>
      <c r="BI49" s="199"/>
      <c r="BJ49" s="199"/>
      <c r="BK49" s="199"/>
      <c r="BL49" s="199"/>
      <c r="BM49" s="199"/>
      <c r="BN49" s="199"/>
      <c r="BO49" s="199"/>
      <c r="BP49" s="199"/>
      <c r="BQ49" s="199"/>
      <c r="BR49" s="199"/>
      <c r="BS49" s="199"/>
      <c r="BT49" s="199"/>
      <c r="BU49" s="199"/>
      <c r="BV49" s="199"/>
      <c r="BW49" s="199"/>
      <c r="BX49" s="199"/>
      <c r="BY49" s="199"/>
      <c r="BZ49" s="199"/>
      <c r="CA49" s="199"/>
      <c r="CB49" s="199"/>
      <c r="CC49" s="199"/>
      <c r="CD49" s="199"/>
      <c r="CE49" s="199"/>
      <c r="CF49" s="199"/>
      <c r="CG49" s="199"/>
      <c r="CH49" s="199"/>
      <c r="CI49" s="199"/>
      <c r="CJ49" s="199"/>
      <c r="CK49" s="199"/>
      <c r="CL49" s="199"/>
      <c r="CM49" s="199"/>
      <c r="CN49" s="199"/>
      <c r="CO49" s="199"/>
      <c r="CP49" s="199"/>
      <c r="CQ49" s="199"/>
      <c r="CR49" s="199"/>
      <c r="CS49" s="199"/>
      <c r="CT49" s="199"/>
      <c r="CU49" s="199"/>
      <c r="CV49" s="199"/>
      <c r="CW49" s="199"/>
      <c r="CX49" s="199"/>
      <c r="CY49" s="199"/>
      <c r="CZ49" s="199"/>
      <c r="DA49" s="199"/>
      <c r="DB49" s="199"/>
      <c r="DC49" s="199"/>
      <c r="DD49" s="199"/>
      <c r="DE49" s="199"/>
      <c r="DF49" s="199"/>
      <c r="DG49" s="199"/>
      <c r="DH49" s="199"/>
      <c r="DI49" s="199"/>
      <c r="DJ49" s="199"/>
      <c r="DK49" s="199"/>
      <c r="DL49" s="199"/>
      <c r="DM49" s="199"/>
      <c r="DN49" s="199"/>
      <c r="DO49" s="199"/>
      <c r="DP49" s="199"/>
      <c r="DQ49" s="199"/>
      <c r="DR49" s="199"/>
      <c r="DS49" s="199"/>
      <c r="DT49" s="199"/>
      <c r="DU49" s="199"/>
      <c r="DV49" s="199"/>
      <c r="DW49" s="199"/>
      <c r="DX49" s="199"/>
      <c r="DY49" s="199"/>
      <c r="DZ49" s="199"/>
      <c r="EA49" s="199"/>
      <c r="EB49" s="199"/>
      <c r="EC49" s="199"/>
      <c r="ED49" s="199"/>
      <c r="EE49" s="199"/>
      <c r="EF49" s="199"/>
      <c r="EG49" s="199"/>
      <c r="EH49" s="199"/>
      <c r="EI49" s="199"/>
      <c r="EJ49" s="199"/>
      <c r="EK49" s="199"/>
      <c r="EL49" s="199"/>
      <c r="EM49" s="199"/>
      <c r="EN49" s="199"/>
      <c r="EO49" s="199"/>
      <c r="EP49" s="199"/>
      <c r="EQ49" s="199"/>
      <c r="ER49" s="199"/>
      <c r="ES49" s="199"/>
      <c r="ET49" s="199"/>
      <c r="EU49" s="199"/>
      <c r="EV49" s="199"/>
      <c r="EW49" s="199"/>
      <c r="EX49" s="199"/>
      <c r="EY49" s="199"/>
    </row>
    <row r="50" spans="1:155" s="213" customFormat="1" ht="25.15" customHeight="1">
      <c r="A50" s="206">
        <v>15</v>
      </c>
      <c r="B50" s="212" t="s">
        <v>52</v>
      </c>
      <c r="C50" s="206">
        <v>101923</v>
      </c>
      <c r="D50" s="384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  <c r="AA50" s="199"/>
      <c r="AB50" s="199"/>
      <c r="AC50" s="199"/>
      <c r="AD50" s="199"/>
      <c r="AE50" s="199"/>
      <c r="AF50" s="199"/>
      <c r="AG50" s="199"/>
      <c r="AH50" s="199"/>
      <c r="AI50" s="199"/>
      <c r="AJ50" s="199"/>
      <c r="AK50" s="199"/>
      <c r="AL50" s="199"/>
      <c r="AM50" s="199"/>
      <c r="AN50" s="199"/>
      <c r="AO50" s="199"/>
      <c r="AP50" s="199"/>
      <c r="AQ50" s="199"/>
      <c r="AR50" s="199"/>
      <c r="AS50" s="199"/>
      <c r="AT50" s="199"/>
      <c r="AU50" s="199"/>
      <c r="AV50" s="199"/>
      <c r="AW50" s="199"/>
      <c r="AX50" s="199"/>
      <c r="AY50" s="199"/>
      <c r="AZ50" s="199"/>
      <c r="BA50" s="199"/>
      <c r="BB50" s="199"/>
      <c r="BC50" s="199"/>
      <c r="BD50" s="199"/>
      <c r="BE50" s="199"/>
      <c r="BF50" s="199"/>
      <c r="BG50" s="199"/>
      <c r="BH50" s="199"/>
      <c r="BI50" s="199"/>
      <c r="BJ50" s="199"/>
      <c r="BK50" s="199"/>
      <c r="BL50" s="199"/>
      <c r="BM50" s="199"/>
      <c r="BN50" s="199"/>
      <c r="BO50" s="199"/>
      <c r="BP50" s="199"/>
      <c r="BQ50" s="199"/>
      <c r="BR50" s="199"/>
      <c r="BS50" s="199"/>
      <c r="BT50" s="199"/>
      <c r="BU50" s="199"/>
      <c r="BV50" s="199"/>
      <c r="BW50" s="199"/>
      <c r="BX50" s="199"/>
      <c r="BY50" s="199"/>
      <c r="BZ50" s="199"/>
      <c r="CA50" s="199"/>
      <c r="CB50" s="199"/>
      <c r="CC50" s="199"/>
      <c r="CD50" s="199"/>
      <c r="CE50" s="199"/>
      <c r="CF50" s="199"/>
      <c r="CG50" s="199"/>
      <c r="CH50" s="199"/>
      <c r="CI50" s="199"/>
      <c r="CJ50" s="199"/>
      <c r="CK50" s="199"/>
      <c r="CL50" s="199"/>
      <c r="CM50" s="199"/>
      <c r="CN50" s="199"/>
      <c r="CO50" s="199"/>
      <c r="CP50" s="199"/>
      <c r="CQ50" s="199"/>
      <c r="CR50" s="199"/>
      <c r="CS50" s="199"/>
      <c r="CT50" s="199"/>
      <c r="CU50" s="199"/>
      <c r="CV50" s="199"/>
      <c r="CW50" s="199"/>
      <c r="CX50" s="199"/>
      <c r="CY50" s="199"/>
      <c r="CZ50" s="199"/>
      <c r="DA50" s="199"/>
      <c r="DB50" s="199"/>
      <c r="DC50" s="199"/>
      <c r="DD50" s="199"/>
      <c r="DE50" s="199"/>
      <c r="DF50" s="199"/>
      <c r="DG50" s="199"/>
      <c r="DH50" s="199"/>
      <c r="DI50" s="199"/>
      <c r="DJ50" s="199"/>
      <c r="DK50" s="199"/>
      <c r="DL50" s="199"/>
      <c r="DM50" s="199"/>
      <c r="DN50" s="199"/>
      <c r="DO50" s="199"/>
      <c r="DP50" s="199"/>
      <c r="DQ50" s="199"/>
      <c r="DR50" s="199"/>
      <c r="DS50" s="199"/>
      <c r="DT50" s="199"/>
      <c r="DU50" s="199"/>
      <c r="DV50" s="199"/>
      <c r="DW50" s="199"/>
      <c r="DX50" s="199"/>
      <c r="DY50" s="199"/>
      <c r="DZ50" s="199"/>
      <c r="EA50" s="199"/>
      <c r="EB50" s="199"/>
      <c r="EC50" s="199"/>
      <c r="ED50" s="199"/>
      <c r="EE50" s="199"/>
      <c r="EF50" s="199"/>
      <c r="EG50" s="199"/>
      <c r="EH50" s="199"/>
      <c r="EI50" s="199"/>
      <c r="EJ50" s="199"/>
      <c r="EK50" s="199"/>
      <c r="EL50" s="199"/>
      <c r="EM50" s="199"/>
      <c r="EN50" s="199"/>
      <c r="EO50" s="199"/>
      <c r="EP50" s="199"/>
      <c r="EQ50" s="199"/>
      <c r="ER50" s="199"/>
      <c r="ES50" s="199"/>
      <c r="ET50" s="199"/>
      <c r="EU50" s="199"/>
      <c r="EV50" s="199"/>
      <c r="EW50" s="199"/>
      <c r="EX50" s="199"/>
      <c r="EY50" s="199"/>
    </row>
    <row r="51" spans="1:155" s="213" customFormat="1" ht="25.15" customHeight="1">
      <c r="A51" s="206">
        <v>16</v>
      </c>
      <c r="B51" s="212" t="s">
        <v>52</v>
      </c>
      <c r="C51" s="183" t="s">
        <v>94</v>
      </c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199"/>
      <c r="AJ51" s="199"/>
      <c r="AK51" s="199"/>
      <c r="AL51" s="199"/>
      <c r="AM51" s="199"/>
      <c r="AN51" s="199"/>
      <c r="AO51" s="199"/>
      <c r="AP51" s="199"/>
      <c r="AQ51" s="199"/>
      <c r="AR51" s="199"/>
      <c r="AS51" s="199"/>
      <c r="AT51" s="199"/>
      <c r="AU51" s="199"/>
      <c r="AV51" s="199"/>
      <c r="AW51" s="199"/>
      <c r="AX51" s="199"/>
      <c r="AY51" s="199"/>
      <c r="AZ51" s="199"/>
      <c r="BA51" s="199"/>
      <c r="BB51" s="199"/>
      <c r="BC51" s="199"/>
      <c r="BD51" s="199"/>
      <c r="BE51" s="199"/>
      <c r="BF51" s="199"/>
      <c r="BG51" s="199"/>
      <c r="BH51" s="199"/>
      <c r="BI51" s="199"/>
      <c r="BJ51" s="199"/>
      <c r="BK51" s="199"/>
      <c r="BL51" s="199"/>
      <c r="BM51" s="199"/>
      <c r="BN51" s="199"/>
      <c r="BO51" s="199"/>
      <c r="BP51" s="199"/>
      <c r="BQ51" s="199"/>
      <c r="BR51" s="199"/>
      <c r="BS51" s="199"/>
      <c r="BT51" s="199"/>
      <c r="BU51" s="199"/>
      <c r="BV51" s="199"/>
      <c r="BW51" s="199"/>
      <c r="BX51" s="199"/>
      <c r="BY51" s="199"/>
      <c r="BZ51" s="199"/>
      <c r="CA51" s="199"/>
      <c r="CB51" s="199"/>
      <c r="CC51" s="199"/>
      <c r="CD51" s="199"/>
      <c r="CE51" s="199"/>
      <c r="CF51" s="199"/>
      <c r="CG51" s="199"/>
      <c r="CH51" s="199"/>
      <c r="CI51" s="199"/>
      <c r="CJ51" s="199"/>
      <c r="CK51" s="199"/>
      <c r="CL51" s="199"/>
      <c r="CM51" s="199"/>
      <c r="CN51" s="199"/>
      <c r="CO51" s="199"/>
      <c r="CP51" s="199"/>
      <c r="CQ51" s="199"/>
      <c r="CR51" s="199"/>
      <c r="CS51" s="199"/>
      <c r="CT51" s="199"/>
      <c r="CU51" s="199"/>
      <c r="CV51" s="199"/>
      <c r="CW51" s="199"/>
      <c r="CX51" s="199"/>
      <c r="CY51" s="199"/>
      <c r="CZ51" s="199"/>
      <c r="DA51" s="199"/>
      <c r="DB51" s="199"/>
      <c r="DC51" s="199"/>
      <c r="DD51" s="199"/>
      <c r="DE51" s="199"/>
      <c r="DF51" s="199"/>
      <c r="DG51" s="199"/>
      <c r="DH51" s="199"/>
      <c r="DI51" s="199"/>
      <c r="DJ51" s="199"/>
      <c r="DK51" s="199"/>
      <c r="DL51" s="199"/>
      <c r="DM51" s="199"/>
      <c r="DN51" s="199"/>
      <c r="DO51" s="199"/>
      <c r="DP51" s="199"/>
      <c r="DQ51" s="199"/>
      <c r="DR51" s="199"/>
      <c r="DS51" s="199"/>
      <c r="DT51" s="199"/>
      <c r="DU51" s="199"/>
      <c r="DV51" s="199"/>
      <c r="DW51" s="199"/>
      <c r="DX51" s="199"/>
      <c r="DY51" s="199"/>
      <c r="DZ51" s="199"/>
      <c r="EA51" s="199"/>
      <c r="EB51" s="199"/>
      <c r="EC51" s="199"/>
      <c r="ED51" s="199"/>
      <c r="EE51" s="199"/>
      <c r="EF51" s="199"/>
      <c r="EG51" s="199"/>
      <c r="EH51" s="199"/>
      <c r="EI51" s="199"/>
      <c r="EJ51" s="199"/>
      <c r="EK51" s="199"/>
      <c r="EL51" s="199"/>
      <c r="EM51" s="199"/>
      <c r="EN51" s="199"/>
      <c r="EO51" s="199"/>
      <c r="EP51" s="199"/>
      <c r="EQ51" s="199"/>
      <c r="ER51" s="199"/>
      <c r="ES51" s="199"/>
      <c r="ET51" s="199"/>
      <c r="EU51" s="199"/>
      <c r="EV51" s="199"/>
      <c r="EW51" s="199"/>
      <c r="EX51" s="199"/>
      <c r="EY51" s="199"/>
    </row>
    <row r="52" spans="1:155" s="213" customFormat="1" ht="25.15" customHeight="1">
      <c r="A52" s="206">
        <v>17</v>
      </c>
      <c r="B52" s="212" t="s">
        <v>52</v>
      </c>
      <c r="C52" s="183" t="s">
        <v>95</v>
      </c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  <c r="AD52" s="199"/>
      <c r="AE52" s="199"/>
      <c r="AF52" s="199"/>
      <c r="AG52" s="199"/>
      <c r="AH52" s="199"/>
      <c r="AI52" s="199"/>
      <c r="AJ52" s="199"/>
      <c r="AK52" s="199"/>
      <c r="AL52" s="199"/>
      <c r="AM52" s="199"/>
      <c r="AN52" s="199"/>
      <c r="AO52" s="199"/>
      <c r="AP52" s="199"/>
      <c r="AQ52" s="199"/>
      <c r="AR52" s="199"/>
      <c r="AS52" s="199"/>
      <c r="AT52" s="199"/>
      <c r="AU52" s="199"/>
      <c r="AV52" s="199"/>
      <c r="AW52" s="199"/>
      <c r="AX52" s="199"/>
      <c r="AY52" s="199"/>
      <c r="AZ52" s="199"/>
      <c r="BA52" s="199"/>
      <c r="BB52" s="199"/>
      <c r="BC52" s="199"/>
      <c r="BD52" s="199"/>
      <c r="BE52" s="199"/>
      <c r="BF52" s="199"/>
      <c r="BG52" s="199"/>
      <c r="BH52" s="199"/>
      <c r="BI52" s="199"/>
      <c r="BJ52" s="199"/>
      <c r="BK52" s="199"/>
      <c r="BL52" s="199"/>
      <c r="BM52" s="199"/>
      <c r="BN52" s="199"/>
      <c r="BO52" s="199"/>
      <c r="BP52" s="199"/>
      <c r="BQ52" s="199"/>
      <c r="BR52" s="199"/>
      <c r="BS52" s="199"/>
      <c r="BT52" s="199"/>
      <c r="BU52" s="199"/>
      <c r="BV52" s="199"/>
      <c r="BW52" s="199"/>
      <c r="BX52" s="199"/>
      <c r="BY52" s="199"/>
      <c r="BZ52" s="199"/>
      <c r="CA52" s="199"/>
      <c r="CB52" s="199"/>
      <c r="CC52" s="199"/>
      <c r="CD52" s="199"/>
      <c r="CE52" s="199"/>
      <c r="CF52" s="199"/>
      <c r="CG52" s="199"/>
      <c r="CH52" s="199"/>
      <c r="CI52" s="199"/>
      <c r="CJ52" s="199"/>
      <c r="CK52" s="199"/>
      <c r="CL52" s="199"/>
      <c r="CM52" s="199"/>
      <c r="CN52" s="199"/>
      <c r="CO52" s="199"/>
      <c r="CP52" s="199"/>
      <c r="CQ52" s="199"/>
      <c r="CR52" s="199"/>
      <c r="CS52" s="199"/>
      <c r="CT52" s="199"/>
      <c r="CU52" s="199"/>
      <c r="CV52" s="199"/>
      <c r="CW52" s="199"/>
      <c r="CX52" s="199"/>
      <c r="CY52" s="199"/>
      <c r="CZ52" s="199"/>
      <c r="DA52" s="199"/>
      <c r="DB52" s="199"/>
      <c r="DC52" s="199"/>
      <c r="DD52" s="199"/>
      <c r="DE52" s="199"/>
      <c r="DF52" s="199"/>
      <c r="DG52" s="199"/>
      <c r="DH52" s="199"/>
      <c r="DI52" s="199"/>
      <c r="DJ52" s="199"/>
      <c r="DK52" s="199"/>
      <c r="DL52" s="199"/>
      <c r="DM52" s="199"/>
      <c r="DN52" s="199"/>
      <c r="DO52" s="199"/>
      <c r="DP52" s="199"/>
      <c r="DQ52" s="199"/>
      <c r="DR52" s="199"/>
      <c r="DS52" s="199"/>
      <c r="DT52" s="199"/>
      <c r="DU52" s="199"/>
      <c r="DV52" s="199"/>
      <c r="DW52" s="199"/>
      <c r="DX52" s="199"/>
      <c r="DY52" s="199"/>
      <c r="DZ52" s="199"/>
      <c r="EA52" s="199"/>
      <c r="EB52" s="199"/>
      <c r="EC52" s="199"/>
      <c r="ED52" s="199"/>
      <c r="EE52" s="199"/>
      <c r="EF52" s="199"/>
      <c r="EG52" s="199"/>
      <c r="EH52" s="199"/>
      <c r="EI52" s="199"/>
      <c r="EJ52" s="199"/>
      <c r="EK52" s="199"/>
      <c r="EL52" s="199"/>
      <c r="EM52" s="199"/>
      <c r="EN52" s="199"/>
      <c r="EO52" s="199"/>
      <c r="EP52" s="199"/>
      <c r="EQ52" s="199"/>
      <c r="ER52" s="199"/>
      <c r="ES52" s="199"/>
      <c r="ET52" s="199"/>
      <c r="EU52" s="199"/>
      <c r="EV52" s="199"/>
      <c r="EW52" s="199"/>
      <c r="EX52" s="199"/>
      <c r="EY52" s="199"/>
    </row>
    <row r="53" spans="1:155" ht="25.15" customHeight="1">
      <c r="A53" s="206">
        <v>18</v>
      </c>
      <c r="B53" s="212" t="s">
        <v>52</v>
      </c>
      <c r="C53" s="183" t="s">
        <v>97</v>
      </c>
      <c r="D53" s="213"/>
    </row>
    <row r="54" spans="1:155" ht="25.15" customHeight="1">
      <c r="A54" s="206">
        <v>19</v>
      </c>
      <c r="B54" s="212" t="s">
        <v>52</v>
      </c>
      <c r="C54" s="183" t="s">
        <v>98</v>
      </c>
      <c r="D54" s="213"/>
    </row>
    <row r="55" spans="1:155" s="99" customFormat="1" ht="25.15" customHeight="1">
      <c r="A55" s="206">
        <v>20</v>
      </c>
      <c r="B55" s="212" t="s">
        <v>39</v>
      </c>
      <c r="C55" s="206">
        <v>102056</v>
      </c>
      <c r="D55" s="213"/>
    </row>
    <row r="56" spans="1:155" ht="25.15" customHeight="1">
      <c r="A56" s="206">
        <v>21</v>
      </c>
      <c r="B56" s="212" t="s">
        <v>39</v>
      </c>
      <c r="C56" s="183" t="s">
        <v>102</v>
      </c>
      <c r="D56" s="213"/>
    </row>
    <row r="57" spans="1:155" s="213" customFormat="1" ht="25.15" customHeight="1">
      <c r="A57" s="206">
        <v>22</v>
      </c>
      <c r="B57" s="212" t="s">
        <v>39</v>
      </c>
      <c r="C57" s="183" t="s">
        <v>104</v>
      </c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  <c r="AB57" s="199"/>
      <c r="AC57" s="199"/>
      <c r="AD57" s="199"/>
      <c r="AE57" s="199"/>
      <c r="AF57" s="199"/>
      <c r="AG57" s="199"/>
      <c r="AH57" s="199"/>
      <c r="AI57" s="199"/>
      <c r="AJ57" s="199"/>
      <c r="AK57" s="199"/>
      <c r="AL57" s="199"/>
      <c r="AM57" s="199"/>
      <c r="AN57" s="199"/>
      <c r="AO57" s="199"/>
      <c r="AP57" s="199"/>
      <c r="AQ57" s="199"/>
      <c r="AR57" s="199"/>
      <c r="AS57" s="199"/>
      <c r="AT57" s="199"/>
      <c r="AU57" s="199"/>
      <c r="AV57" s="199"/>
      <c r="AW57" s="199"/>
      <c r="AX57" s="199"/>
      <c r="AY57" s="199"/>
      <c r="AZ57" s="199"/>
      <c r="BA57" s="199"/>
      <c r="BB57" s="199"/>
      <c r="BC57" s="199"/>
      <c r="BD57" s="199"/>
      <c r="BE57" s="199"/>
      <c r="BF57" s="199"/>
      <c r="BG57" s="199"/>
      <c r="BH57" s="199"/>
      <c r="BI57" s="199"/>
      <c r="BJ57" s="199"/>
      <c r="BK57" s="199"/>
      <c r="BL57" s="199"/>
      <c r="BM57" s="199"/>
      <c r="BN57" s="199"/>
      <c r="BO57" s="199"/>
      <c r="BP57" s="199"/>
      <c r="BQ57" s="199"/>
      <c r="BR57" s="199"/>
      <c r="BS57" s="199"/>
      <c r="BT57" s="199"/>
      <c r="BU57" s="199"/>
      <c r="BV57" s="199"/>
      <c r="BW57" s="199"/>
      <c r="BX57" s="199"/>
      <c r="BY57" s="199"/>
      <c r="BZ57" s="199"/>
      <c r="CA57" s="199"/>
      <c r="CB57" s="199"/>
      <c r="CC57" s="199"/>
      <c r="CD57" s="199"/>
      <c r="CE57" s="199"/>
      <c r="CF57" s="199"/>
      <c r="CG57" s="199"/>
      <c r="CH57" s="199"/>
      <c r="CI57" s="199"/>
      <c r="CJ57" s="199"/>
      <c r="CK57" s="199"/>
      <c r="CL57" s="199"/>
      <c r="CM57" s="199"/>
      <c r="CN57" s="199"/>
      <c r="CO57" s="199"/>
      <c r="CP57" s="199"/>
      <c r="CQ57" s="199"/>
      <c r="CR57" s="199"/>
      <c r="CS57" s="199"/>
      <c r="CT57" s="199"/>
      <c r="CU57" s="199"/>
      <c r="CV57" s="199"/>
      <c r="CW57" s="199"/>
      <c r="CX57" s="199"/>
      <c r="CY57" s="199"/>
      <c r="CZ57" s="199"/>
      <c r="DA57" s="199"/>
      <c r="DB57" s="199"/>
      <c r="DC57" s="199"/>
      <c r="DD57" s="199"/>
      <c r="DE57" s="199"/>
      <c r="DF57" s="199"/>
      <c r="DG57" s="199"/>
      <c r="DH57" s="199"/>
      <c r="DI57" s="199"/>
      <c r="DJ57" s="199"/>
      <c r="DK57" s="199"/>
      <c r="DL57" s="199"/>
      <c r="DM57" s="199"/>
      <c r="DN57" s="199"/>
      <c r="DO57" s="199"/>
      <c r="DP57" s="199"/>
      <c r="DQ57" s="199"/>
      <c r="DR57" s="199"/>
      <c r="DS57" s="199"/>
      <c r="DT57" s="199"/>
      <c r="DU57" s="199"/>
      <c r="DV57" s="199"/>
      <c r="DW57" s="199"/>
      <c r="DX57" s="199"/>
      <c r="DY57" s="199"/>
      <c r="DZ57" s="199"/>
      <c r="EA57" s="199"/>
      <c r="EB57" s="199"/>
      <c r="EC57" s="199"/>
      <c r="ED57" s="199"/>
      <c r="EE57" s="199"/>
      <c r="EF57" s="199"/>
      <c r="EG57" s="199"/>
      <c r="EH57" s="199"/>
      <c r="EI57" s="199"/>
      <c r="EJ57" s="199"/>
      <c r="EK57" s="199"/>
      <c r="EL57" s="199"/>
      <c r="EM57" s="199"/>
      <c r="EN57" s="199"/>
      <c r="EO57" s="199"/>
      <c r="EP57" s="199"/>
      <c r="EQ57" s="199"/>
      <c r="ER57" s="199"/>
      <c r="ES57" s="199"/>
      <c r="ET57" s="199"/>
      <c r="EU57" s="199"/>
      <c r="EV57" s="199"/>
      <c r="EW57" s="199"/>
      <c r="EX57" s="199"/>
      <c r="EY57" s="199"/>
    </row>
    <row r="58" spans="1:155" s="213" customFormat="1" ht="25.15" customHeight="1">
      <c r="A58" s="206">
        <v>23</v>
      </c>
      <c r="B58" s="212" t="s">
        <v>112</v>
      </c>
      <c r="C58" s="183" t="s">
        <v>117</v>
      </c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199"/>
      <c r="AB58" s="199"/>
      <c r="AC58" s="199"/>
      <c r="AD58" s="199"/>
      <c r="AE58" s="199"/>
      <c r="AF58" s="199"/>
      <c r="AG58" s="199"/>
      <c r="AH58" s="199"/>
      <c r="AI58" s="199"/>
      <c r="AJ58" s="199"/>
      <c r="AK58" s="199"/>
      <c r="AL58" s="199"/>
      <c r="AM58" s="199"/>
      <c r="AN58" s="199"/>
      <c r="AO58" s="199"/>
      <c r="AP58" s="199"/>
      <c r="AQ58" s="199"/>
      <c r="AR58" s="199"/>
      <c r="AS58" s="199"/>
      <c r="AT58" s="199"/>
      <c r="AU58" s="199"/>
      <c r="AV58" s="199"/>
      <c r="AW58" s="199"/>
      <c r="AX58" s="199"/>
      <c r="AY58" s="199"/>
      <c r="AZ58" s="199"/>
      <c r="BA58" s="199"/>
      <c r="BB58" s="199"/>
      <c r="BC58" s="199"/>
      <c r="BD58" s="199"/>
      <c r="BE58" s="199"/>
      <c r="BF58" s="199"/>
      <c r="BG58" s="199"/>
      <c r="BH58" s="199"/>
      <c r="BI58" s="199"/>
      <c r="BJ58" s="199"/>
      <c r="BK58" s="199"/>
      <c r="BL58" s="199"/>
      <c r="BM58" s="199"/>
      <c r="BN58" s="199"/>
      <c r="BO58" s="199"/>
      <c r="BP58" s="199"/>
      <c r="BQ58" s="199"/>
      <c r="BR58" s="199"/>
      <c r="BS58" s="199"/>
      <c r="BT58" s="199"/>
      <c r="BU58" s="199"/>
      <c r="BV58" s="199"/>
      <c r="BW58" s="199"/>
      <c r="BX58" s="199"/>
      <c r="BY58" s="199"/>
      <c r="BZ58" s="199"/>
      <c r="CA58" s="199"/>
      <c r="CB58" s="199"/>
      <c r="CC58" s="199"/>
      <c r="CD58" s="199"/>
      <c r="CE58" s="199"/>
      <c r="CF58" s="199"/>
      <c r="CG58" s="199"/>
      <c r="CH58" s="199"/>
      <c r="CI58" s="199"/>
      <c r="CJ58" s="199"/>
      <c r="CK58" s="199"/>
      <c r="CL58" s="199"/>
      <c r="CM58" s="199"/>
      <c r="CN58" s="199"/>
      <c r="CO58" s="199"/>
      <c r="CP58" s="199"/>
      <c r="CQ58" s="199"/>
      <c r="CR58" s="199"/>
      <c r="CS58" s="199"/>
      <c r="CT58" s="199"/>
      <c r="CU58" s="199"/>
      <c r="CV58" s="199"/>
      <c r="CW58" s="199"/>
      <c r="CX58" s="199"/>
      <c r="CY58" s="199"/>
      <c r="CZ58" s="199"/>
      <c r="DA58" s="199"/>
      <c r="DB58" s="199"/>
      <c r="DC58" s="199"/>
      <c r="DD58" s="199"/>
      <c r="DE58" s="199"/>
      <c r="DF58" s="199"/>
      <c r="DG58" s="199"/>
      <c r="DH58" s="199"/>
      <c r="DI58" s="199"/>
      <c r="DJ58" s="199"/>
      <c r="DK58" s="199"/>
      <c r="DL58" s="199"/>
      <c r="DM58" s="199"/>
      <c r="DN58" s="199"/>
      <c r="DO58" s="199"/>
      <c r="DP58" s="199"/>
      <c r="DQ58" s="199"/>
      <c r="DR58" s="199"/>
      <c r="DS58" s="199"/>
      <c r="DT58" s="199"/>
      <c r="DU58" s="199"/>
      <c r="DV58" s="199"/>
      <c r="DW58" s="199"/>
      <c r="DX58" s="199"/>
      <c r="DY58" s="199"/>
      <c r="DZ58" s="199"/>
      <c r="EA58" s="199"/>
      <c r="EB58" s="199"/>
      <c r="EC58" s="199"/>
      <c r="ED58" s="199"/>
      <c r="EE58" s="199"/>
      <c r="EF58" s="199"/>
      <c r="EG58" s="199"/>
      <c r="EH58" s="199"/>
      <c r="EI58" s="199"/>
      <c r="EJ58" s="199"/>
      <c r="EK58" s="199"/>
      <c r="EL58" s="199"/>
      <c r="EM58" s="199"/>
      <c r="EN58" s="199"/>
      <c r="EO58" s="199"/>
      <c r="EP58" s="199"/>
      <c r="EQ58" s="199"/>
      <c r="ER58" s="199"/>
      <c r="ES58" s="199"/>
      <c r="ET58" s="199"/>
      <c r="EU58" s="199"/>
      <c r="EV58" s="199"/>
      <c r="EW58" s="199"/>
      <c r="EX58" s="199"/>
      <c r="EY58" s="199"/>
    </row>
    <row r="59" spans="1:155" s="213" customFormat="1" ht="25.15" customHeight="1">
      <c r="A59" s="206">
        <v>24</v>
      </c>
      <c r="B59" s="212" t="s">
        <v>112</v>
      </c>
      <c r="C59" s="183" t="s">
        <v>126</v>
      </c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199"/>
      <c r="AB59" s="199"/>
      <c r="AC59" s="199"/>
      <c r="AD59" s="199"/>
      <c r="AE59" s="199"/>
      <c r="AF59" s="199"/>
      <c r="AG59" s="199"/>
      <c r="AH59" s="199"/>
      <c r="AI59" s="199"/>
      <c r="AJ59" s="199"/>
      <c r="AK59" s="199"/>
      <c r="AL59" s="199"/>
      <c r="AM59" s="199"/>
      <c r="AN59" s="199"/>
      <c r="AO59" s="199"/>
      <c r="AP59" s="199"/>
      <c r="AQ59" s="199"/>
      <c r="AR59" s="199"/>
      <c r="AS59" s="199"/>
      <c r="AT59" s="199"/>
      <c r="AU59" s="199"/>
      <c r="AV59" s="199"/>
      <c r="AW59" s="199"/>
      <c r="AX59" s="199"/>
      <c r="AY59" s="199"/>
      <c r="AZ59" s="199"/>
      <c r="BA59" s="199"/>
      <c r="BB59" s="199"/>
      <c r="BC59" s="199"/>
      <c r="BD59" s="199"/>
      <c r="BE59" s="199"/>
      <c r="BF59" s="199"/>
      <c r="BG59" s="199"/>
      <c r="BH59" s="199"/>
      <c r="BI59" s="199"/>
      <c r="BJ59" s="199"/>
      <c r="BK59" s="199"/>
      <c r="BL59" s="199"/>
      <c r="BM59" s="199"/>
      <c r="BN59" s="199"/>
      <c r="BO59" s="199"/>
      <c r="BP59" s="199"/>
      <c r="BQ59" s="199"/>
      <c r="BR59" s="199"/>
      <c r="BS59" s="199"/>
      <c r="BT59" s="199"/>
      <c r="BU59" s="199"/>
      <c r="BV59" s="199"/>
      <c r="BW59" s="199"/>
      <c r="BX59" s="199"/>
      <c r="BY59" s="199"/>
      <c r="BZ59" s="199"/>
      <c r="CA59" s="199"/>
      <c r="CB59" s="199"/>
      <c r="CC59" s="199"/>
      <c r="CD59" s="199"/>
      <c r="CE59" s="199"/>
      <c r="CF59" s="199"/>
      <c r="CG59" s="199"/>
      <c r="CH59" s="199"/>
      <c r="CI59" s="199"/>
      <c r="CJ59" s="199"/>
      <c r="CK59" s="199"/>
      <c r="CL59" s="199"/>
      <c r="CM59" s="199"/>
      <c r="CN59" s="199"/>
      <c r="CO59" s="199"/>
      <c r="CP59" s="199"/>
      <c r="CQ59" s="199"/>
      <c r="CR59" s="199"/>
      <c r="CS59" s="199"/>
      <c r="CT59" s="199"/>
      <c r="CU59" s="199"/>
      <c r="CV59" s="199"/>
      <c r="CW59" s="199"/>
      <c r="CX59" s="199"/>
      <c r="CY59" s="199"/>
      <c r="CZ59" s="199"/>
      <c r="DA59" s="199"/>
      <c r="DB59" s="199"/>
      <c r="DC59" s="199"/>
      <c r="DD59" s="199"/>
      <c r="DE59" s="199"/>
      <c r="DF59" s="199"/>
      <c r="DG59" s="199"/>
      <c r="DH59" s="199"/>
      <c r="DI59" s="199"/>
      <c r="DJ59" s="199"/>
      <c r="DK59" s="199"/>
      <c r="DL59" s="199"/>
      <c r="DM59" s="199"/>
      <c r="DN59" s="199"/>
      <c r="DO59" s="199"/>
      <c r="DP59" s="199"/>
      <c r="DQ59" s="199"/>
      <c r="DR59" s="199"/>
      <c r="DS59" s="199"/>
      <c r="DT59" s="199"/>
      <c r="DU59" s="199"/>
      <c r="DV59" s="199"/>
      <c r="DW59" s="199"/>
      <c r="DX59" s="199"/>
      <c r="DY59" s="199"/>
      <c r="DZ59" s="199"/>
      <c r="EA59" s="199"/>
      <c r="EB59" s="199"/>
      <c r="EC59" s="199"/>
      <c r="ED59" s="199"/>
      <c r="EE59" s="199"/>
      <c r="EF59" s="199"/>
      <c r="EG59" s="199"/>
      <c r="EH59" s="199"/>
      <c r="EI59" s="199"/>
      <c r="EJ59" s="199"/>
      <c r="EK59" s="199"/>
      <c r="EL59" s="199"/>
      <c r="EM59" s="199"/>
      <c r="EN59" s="199"/>
      <c r="EO59" s="199"/>
      <c r="EP59" s="199"/>
      <c r="EQ59" s="199"/>
      <c r="ER59" s="199"/>
      <c r="ES59" s="199"/>
      <c r="ET59" s="199"/>
      <c r="EU59" s="199"/>
      <c r="EV59" s="199"/>
      <c r="EW59" s="199"/>
      <c r="EX59" s="199"/>
      <c r="EY59" s="199"/>
    </row>
    <row r="60" spans="1:155" s="213" customFormat="1" ht="25.15" customHeight="1">
      <c r="A60" s="206">
        <v>25</v>
      </c>
      <c r="B60" s="212" t="s">
        <v>112</v>
      </c>
      <c r="C60" s="183" t="s">
        <v>127</v>
      </c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199"/>
      <c r="AJ60" s="199"/>
      <c r="AK60" s="199"/>
      <c r="AL60" s="199"/>
      <c r="AM60" s="199"/>
      <c r="AN60" s="199"/>
      <c r="AO60" s="199"/>
      <c r="AP60" s="199"/>
      <c r="AQ60" s="199"/>
      <c r="AR60" s="199"/>
      <c r="AS60" s="199"/>
      <c r="AT60" s="199"/>
      <c r="AU60" s="199"/>
      <c r="AV60" s="199"/>
      <c r="AW60" s="199"/>
      <c r="AX60" s="199"/>
      <c r="AY60" s="199"/>
      <c r="AZ60" s="199"/>
      <c r="BA60" s="199"/>
      <c r="BB60" s="199"/>
      <c r="BC60" s="199"/>
      <c r="BD60" s="199"/>
      <c r="BE60" s="199"/>
      <c r="BF60" s="199"/>
      <c r="BG60" s="199"/>
      <c r="BH60" s="199"/>
      <c r="BI60" s="199"/>
      <c r="BJ60" s="199"/>
      <c r="BK60" s="199"/>
      <c r="BL60" s="199"/>
      <c r="BM60" s="199"/>
      <c r="BN60" s="199"/>
      <c r="BO60" s="199"/>
      <c r="BP60" s="199"/>
      <c r="BQ60" s="199"/>
      <c r="BR60" s="199"/>
      <c r="BS60" s="199"/>
      <c r="BT60" s="199"/>
      <c r="BU60" s="199"/>
      <c r="BV60" s="199"/>
      <c r="BW60" s="199"/>
      <c r="BX60" s="199"/>
      <c r="BY60" s="199"/>
      <c r="BZ60" s="199"/>
      <c r="CA60" s="199"/>
      <c r="CB60" s="199"/>
      <c r="CC60" s="199"/>
      <c r="CD60" s="199"/>
      <c r="CE60" s="199"/>
      <c r="CF60" s="199"/>
      <c r="CG60" s="199"/>
      <c r="CH60" s="199"/>
      <c r="CI60" s="199"/>
      <c r="CJ60" s="199"/>
      <c r="CK60" s="199"/>
      <c r="CL60" s="199"/>
      <c r="CM60" s="199"/>
      <c r="CN60" s="199"/>
      <c r="CO60" s="199"/>
      <c r="CP60" s="199"/>
      <c r="CQ60" s="199"/>
      <c r="CR60" s="199"/>
      <c r="CS60" s="199"/>
      <c r="CT60" s="199"/>
      <c r="CU60" s="199"/>
      <c r="CV60" s="199"/>
      <c r="CW60" s="199"/>
      <c r="CX60" s="199"/>
      <c r="CY60" s="199"/>
      <c r="CZ60" s="199"/>
      <c r="DA60" s="199"/>
      <c r="DB60" s="199"/>
      <c r="DC60" s="199"/>
      <c r="DD60" s="199"/>
      <c r="DE60" s="199"/>
      <c r="DF60" s="199"/>
      <c r="DG60" s="199"/>
      <c r="DH60" s="199"/>
      <c r="DI60" s="199"/>
      <c r="DJ60" s="199"/>
      <c r="DK60" s="199"/>
      <c r="DL60" s="199"/>
      <c r="DM60" s="199"/>
      <c r="DN60" s="199"/>
      <c r="DO60" s="199"/>
      <c r="DP60" s="199"/>
      <c r="DQ60" s="199"/>
      <c r="DR60" s="199"/>
      <c r="DS60" s="199"/>
      <c r="DT60" s="199"/>
      <c r="DU60" s="199"/>
      <c r="DV60" s="199"/>
      <c r="DW60" s="199"/>
      <c r="DX60" s="199"/>
      <c r="DY60" s="199"/>
      <c r="DZ60" s="199"/>
      <c r="EA60" s="199"/>
      <c r="EB60" s="199"/>
      <c r="EC60" s="199"/>
      <c r="ED60" s="199"/>
      <c r="EE60" s="199"/>
      <c r="EF60" s="199"/>
      <c r="EG60" s="199"/>
      <c r="EH60" s="199"/>
      <c r="EI60" s="199"/>
      <c r="EJ60" s="199"/>
      <c r="EK60" s="199"/>
      <c r="EL60" s="199"/>
      <c r="EM60" s="199"/>
      <c r="EN60" s="199"/>
      <c r="EO60" s="199"/>
      <c r="EP60" s="199"/>
      <c r="EQ60" s="199"/>
      <c r="ER60" s="199"/>
      <c r="ES60" s="199"/>
      <c r="ET60" s="199"/>
      <c r="EU60" s="199"/>
      <c r="EV60" s="199"/>
      <c r="EW60" s="199"/>
      <c r="EX60" s="199"/>
      <c r="EY60" s="199"/>
    </row>
    <row r="61" spans="1:155" s="213" customFormat="1" ht="25.15" customHeight="1">
      <c r="A61" s="206">
        <v>26</v>
      </c>
      <c r="B61" s="212" t="s">
        <v>52</v>
      </c>
      <c r="C61" s="183" t="s">
        <v>130</v>
      </c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  <c r="AD61" s="199"/>
      <c r="AE61" s="199"/>
      <c r="AF61" s="199"/>
      <c r="AG61" s="199"/>
      <c r="AH61" s="199"/>
      <c r="AI61" s="199"/>
      <c r="AJ61" s="199"/>
      <c r="AK61" s="199"/>
      <c r="AL61" s="199"/>
      <c r="AM61" s="199"/>
      <c r="AN61" s="199"/>
      <c r="AO61" s="199"/>
      <c r="AP61" s="199"/>
      <c r="AQ61" s="199"/>
      <c r="AR61" s="199"/>
      <c r="AS61" s="199"/>
      <c r="AT61" s="199"/>
      <c r="AU61" s="199"/>
      <c r="AV61" s="199"/>
      <c r="AW61" s="199"/>
      <c r="AX61" s="199"/>
      <c r="AY61" s="199"/>
      <c r="AZ61" s="199"/>
      <c r="BA61" s="199"/>
      <c r="BB61" s="199"/>
      <c r="BC61" s="199"/>
      <c r="BD61" s="199"/>
      <c r="BE61" s="199"/>
      <c r="BF61" s="199"/>
      <c r="BG61" s="199"/>
      <c r="BH61" s="199"/>
      <c r="BI61" s="199"/>
      <c r="BJ61" s="199"/>
      <c r="BK61" s="199"/>
      <c r="BL61" s="199"/>
      <c r="BM61" s="199"/>
      <c r="BN61" s="199"/>
      <c r="BO61" s="199"/>
      <c r="BP61" s="199"/>
      <c r="BQ61" s="199"/>
      <c r="BR61" s="199"/>
      <c r="BS61" s="199"/>
      <c r="BT61" s="199"/>
      <c r="BU61" s="199"/>
      <c r="BV61" s="199"/>
      <c r="BW61" s="199"/>
      <c r="BX61" s="199"/>
      <c r="BY61" s="199"/>
      <c r="BZ61" s="199"/>
      <c r="CA61" s="199"/>
      <c r="CB61" s="199"/>
      <c r="CC61" s="199"/>
      <c r="CD61" s="199"/>
      <c r="CE61" s="199"/>
      <c r="CF61" s="199"/>
      <c r="CG61" s="199"/>
      <c r="CH61" s="199"/>
      <c r="CI61" s="199"/>
      <c r="CJ61" s="199"/>
      <c r="CK61" s="199"/>
      <c r="CL61" s="199"/>
      <c r="CM61" s="199"/>
      <c r="CN61" s="199"/>
      <c r="CO61" s="199"/>
      <c r="CP61" s="199"/>
      <c r="CQ61" s="199"/>
      <c r="CR61" s="199"/>
      <c r="CS61" s="199"/>
      <c r="CT61" s="199"/>
      <c r="CU61" s="199"/>
      <c r="CV61" s="199"/>
      <c r="CW61" s="199"/>
      <c r="CX61" s="199"/>
      <c r="CY61" s="199"/>
      <c r="CZ61" s="199"/>
      <c r="DA61" s="199"/>
      <c r="DB61" s="199"/>
      <c r="DC61" s="199"/>
      <c r="DD61" s="199"/>
      <c r="DE61" s="199"/>
      <c r="DF61" s="199"/>
      <c r="DG61" s="199"/>
      <c r="DH61" s="199"/>
      <c r="DI61" s="199"/>
      <c r="DJ61" s="199"/>
      <c r="DK61" s="199"/>
      <c r="DL61" s="199"/>
      <c r="DM61" s="199"/>
      <c r="DN61" s="199"/>
      <c r="DO61" s="199"/>
      <c r="DP61" s="199"/>
      <c r="DQ61" s="199"/>
      <c r="DR61" s="199"/>
      <c r="DS61" s="199"/>
      <c r="DT61" s="199"/>
      <c r="DU61" s="199"/>
      <c r="DV61" s="199"/>
      <c r="DW61" s="199"/>
      <c r="DX61" s="199"/>
      <c r="DY61" s="199"/>
      <c r="DZ61" s="199"/>
      <c r="EA61" s="199"/>
      <c r="EB61" s="199"/>
      <c r="EC61" s="199"/>
      <c r="ED61" s="199"/>
      <c r="EE61" s="199"/>
      <c r="EF61" s="199"/>
      <c r="EG61" s="199"/>
      <c r="EH61" s="199"/>
      <c r="EI61" s="199"/>
      <c r="EJ61" s="199"/>
      <c r="EK61" s="199"/>
      <c r="EL61" s="199"/>
      <c r="EM61" s="199"/>
      <c r="EN61" s="199"/>
      <c r="EO61" s="199"/>
      <c r="EP61" s="199"/>
      <c r="EQ61" s="199"/>
      <c r="ER61" s="199"/>
      <c r="ES61" s="199"/>
      <c r="ET61" s="199"/>
      <c r="EU61" s="199"/>
      <c r="EV61" s="199"/>
      <c r="EW61" s="199"/>
      <c r="EX61" s="199"/>
      <c r="EY61" s="199"/>
    </row>
    <row r="62" spans="1:155" s="213" customFormat="1" ht="25.15" customHeight="1">
      <c r="A62" s="206">
        <v>27</v>
      </c>
      <c r="B62" s="212" t="s">
        <v>52</v>
      </c>
      <c r="C62" s="183" t="s">
        <v>131</v>
      </c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  <c r="AD62" s="199"/>
      <c r="AE62" s="199"/>
      <c r="AF62" s="199"/>
      <c r="AG62" s="199"/>
      <c r="AH62" s="199"/>
      <c r="AI62" s="199"/>
      <c r="AJ62" s="199"/>
      <c r="AK62" s="199"/>
      <c r="AL62" s="199"/>
      <c r="AM62" s="199"/>
      <c r="AN62" s="199"/>
      <c r="AO62" s="199"/>
      <c r="AP62" s="199"/>
      <c r="AQ62" s="199"/>
      <c r="AR62" s="199"/>
      <c r="AS62" s="199"/>
      <c r="AT62" s="199"/>
      <c r="AU62" s="199"/>
      <c r="AV62" s="199"/>
      <c r="AW62" s="199"/>
      <c r="AX62" s="199"/>
      <c r="AY62" s="199"/>
      <c r="AZ62" s="199"/>
      <c r="BA62" s="199"/>
      <c r="BB62" s="199"/>
      <c r="BC62" s="199"/>
      <c r="BD62" s="199"/>
      <c r="BE62" s="199"/>
      <c r="BF62" s="199"/>
      <c r="BG62" s="199"/>
      <c r="BH62" s="199"/>
      <c r="BI62" s="199"/>
      <c r="BJ62" s="199"/>
      <c r="BK62" s="199"/>
      <c r="BL62" s="199"/>
      <c r="BM62" s="199"/>
      <c r="BN62" s="199"/>
      <c r="BO62" s="199"/>
      <c r="BP62" s="199"/>
      <c r="BQ62" s="199"/>
      <c r="BR62" s="199"/>
      <c r="BS62" s="199"/>
      <c r="BT62" s="199"/>
      <c r="BU62" s="199"/>
      <c r="BV62" s="199"/>
      <c r="BW62" s="199"/>
      <c r="BX62" s="199"/>
      <c r="BY62" s="199"/>
      <c r="BZ62" s="199"/>
      <c r="CA62" s="199"/>
      <c r="CB62" s="199"/>
      <c r="CC62" s="199"/>
      <c r="CD62" s="199"/>
      <c r="CE62" s="199"/>
      <c r="CF62" s="199"/>
      <c r="CG62" s="199"/>
      <c r="CH62" s="199"/>
      <c r="CI62" s="199"/>
      <c r="CJ62" s="199"/>
      <c r="CK62" s="199"/>
      <c r="CL62" s="199"/>
      <c r="CM62" s="199"/>
      <c r="CN62" s="199"/>
      <c r="CO62" s="199"/>
      <c r="CP62" s="199"/>
      <c r="CQ62" s="199"/>
      <c r="CR62" s="199"/>
      <c r="CS62" s="199"/>
      <c r="CT62" s="199"/>
      <c r="CU62" s="199"/>
      <c r="CV62" s="199"/>
      <c r="CW62" s="199"/>
      <c r="CX62" s="199"/>
      <c r="CY62" s="199"/>
      <c r="CZ62" s="199"/>
      <c r="DA62" s="199"/>
      <c r="DB62" s="199"/>
      <c r="DC62" s="199"/>
      <c r="DD62" s="199"/>
      <c r="DE62" s="199"/>
      <c r="DF62" s="199"/>
      <c r="DG62" s="199"/>
      <c r="DH62" s="199"/>
      <c r="DI62" s="199"/>
      <c r="DJ62" s="199"/>
      <c r="DK62" s="199"/>
      <c r="DL62" s="199"/>
      <c r="DM62" s="199"/>
      <c r="DN62" s="199"/>
      <c r="DO62" s="199"/>
      <c r="DP62" s="199"/>
      <c r="DQ62" s="199"/>
      <c r="DR62" s="199"/>
      <c r="DS62" s="199"/>
      <c r="DT62" s="199"/>
      <c r="DU62" s="199"/>
      <c r="DV62" s="199"/>
      <c r="DW62" s="199"/>
      <c r="DX62" s="199"/>
      <c r="DY62" s="199"/>
      <c r="DZ62" s="199"/>
      <c r="EA62" s="199"/>
      <c r="EB62" s="199"/>
      <c r="EC62" s="199"/>
      <c r="ED62" s="199"/>
      <c r="EE62" s="199"/>
      <c r="EF62" s="199"/>
      <c r="EG62" s="199"/>
      <c r="EH62" s="199"/>
      <c r="EI62" s="199"/>
      <c r="EJ62" s="199"/>
      <c r="EK62" s="199"/>
      <c r="EL62" s="199"/>
      <c r="EM62" s="199"/>
      <c r="EN62" s="199"/>
      <c r="EO62" s="199"/>
      <c r="EP62" s="199"/>
      <c r="EQ62" s="199"/>
      <c r="ER62" s="199"/>
      <c r="ES62" s="199"/>
      <c r="ET62" s="199"/>
      <c r="EU62" s="199"/>
      <c r="EV62" s="199"/>
      <c r="EW62" s="199"/>
      <c r="EX62" s="199"/>
      <c r="EY62" s="199"/>
    </row>
    <row r="63" spans="1:155" s="213" customFormat="1" ht="25.15" customHeight="1">
      <c r="A63" s="206">
        <v>28</v>
      </c>
      <c r="B63" s="212" t="s">
        <v>52</v>
      </c>
      <c r="C63" s="206">
        <v>102286</v>
      </c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  <c r="AD63" s="199"/>
      <c r="AE63" s="199"/>
      <c r="AF63" s="199"/>
      <c r="AG63" s="199"/>
      <c r="AH63" s="199"/>
      <c r="AI63" s="199"/>
      <c r="AJ63" s="199"/>
      <c r="AK63" s="199"/>
      <c r="AL63" s="199"/>
      <c r="AM63" s="199"/>
      <c r="AN63" s="199"/>
      <c r="AO63" s="199"/>
      <c r="AP63" s="199"/>
      <c r="AQ63" s="199"/>
      <c r="AR63" s="199"/>
      <c r="AS63" s="199"/>
      <c r="AT63" s="199"/>
      <c r="AU63" s="199"/>
      <c r="AV63" s="199"/>
      <c r="AW63" s="199"/>
      <c r="AX63" s="199"/>
      <c r="AY63" s="199"/>
      <c r="AZ63" s="199"/>
      <c r="BA63" s="199"/>
      <c r="BB63" s="199"/>
      <c r="BC63" s="199"/>
      <c r="BD63" s="199"/>
      <c r="BE63" s="199"/>
      <c r="BF63" s="199"/>
      <c r="BG63" s="199"/>
      <c r="BH63" s="199"/>
      <c r="BI63" s="199"/>
      <c r="BJ63" s="199"/>
      <c r="BK63" s="199"/>
      <c r="BL63" s="199"/>
      <c r="BM63" s="199"/>
      <c r="BN63" s="199"/>
      <c r="BO63" s="199"/>
      <c r="BP63" s="199"/>
      <c r="BQ63" s="199"/>
      <c r="BR63" s="199"/>
      <c r="BS63" s="199"/>
      <c r="BT63" s="199"/>
      <c r="BU63" s="199"/>
      <c r="BV63" s="199"/>
      <c r="BW63" s="199"/>
      <c r="BX63" s="199"/>
      <c r="BY63" s="199"/>
      <c r="BZ63" s="199"/>
      <c r="CA63" s="199"/>
      <c r="CB63" s="199"/>
      <c r="CC63" s="199"/>
      <c r="CD63" s="199"/>
      <c r="CE63" s="199"/>
      <c r="CF63" s="199"/>
      <c r="CG63" s="199"/>
      <c r="CH63" s="199"/>
      <c r="CI63" s="199"/>
      <c r="CJ63" s="199"/>
      <c r="CK63" s="199"/>
      <c r="CL63" s="199"/>
      <c r="CM63" s="199"/>
      <c r="CN63" s="199"/>
      <c r="CO63" s="199"/>
      <c r="CP63" s="199"/>
      <c r="CQ63" s="199"/>
      <c r="CR63" s="199"/>
      <c r="CS63" s="199"/>
      <c r="CT63" s="199"/>
      <c r="CU63" s="199"/>
      <c r="CV63" s="199"/>
      <c r="CW63" s="199"/>
      <c r="CX63" s="199"/>
      <c r="CY63" s="199"/>
      <c r="CZ63" s="199"/>
      <c r="DA63" s="199"/>
      <c r="DB63" s="199"/>
      <c r="DC63" s="199"/>
      <c r="DD63" s="199"/>
      <c r="DE63" s="199"/>
      <c r="DF63" s="199"/>
      <c r="DG63" s="199"/>
      <c r="DH63" s="199"/>
      <c r="DI63" s="199"/>
      <c r="DJ63" s="199"/>
      <c r="DK63" s="199"/>
      <c r="DL63" s="199"/>
      <c r="DM63" s="199"/>
      <c r="DN63" s="199"/>
      <c r="DO63" s="199"/>
      <c r="DP63" s="199"/>
      <c r="DQ63" s="199"/>
      <c r="DR63" s="199"/>
      <c r="DS63" s="199"/>
      <c r="DT63" s="199"/>
      <c r="DU63" s="199"/>
      <c r="DV63" s="199"/>
      <c r="DW63" s="199"/>
      <c r="DX63" s="199"/>
      <c r="DY63" s="199"/>
      <c r="DZ63" s="199"/>
      <c r="EA63" s="199"/>
      <c r="EB63" s="199"/>
      <c r="EC63" s="199"/>
      <c r="ED63" s="199"/>
      <c r="EE63" s="199"/>
      <c r="EF63" s="199"/>
      <c r="EG63" s="199"/>
      <c r="EH63" s="199"/>
      <c r="EI63" s="199"/>
      <c r="EJ63" s="199"/>
      <c r="EK63" s="199"/>
      <c r="EL63" s="199"/>
      <c r="EM63" s="199"/>
      <c r="EN63" s="199"/>
      <c r="EO63" s="199"/>
      <c r="EP63" s="199"/>
      <c r="EQ63" s="199"/>
      <c r="ER63" s="199"/>
      <c r="ES63" s="199"/>
      <c r="ET63" s="199"/>
      <c r="EU63" s="199"/>
      <c r="EV63" s="199"/>
      <c r="EW63" s="199"/>
      <c r="EX63" s="199"/>
      <c r="EY63" s="199"/>
    </row>
    <row r="64" spans="1:155" s="213" customFormat="1" ht="25.15" customHeight="1">
      <c r="A64" s="206">
        <v>29</v>
      </c>
      <c r="B64" s="212" t="s">
        <v>52</v>
      </c>
      <c r="C64" s="206">
        <v>102287</v>
      </c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199"/>
      <c r="AB64" s="199"/>
      <c r="AC64" s="199"/>
      <c r="AD64" s="199"/>
      <c r="AE64" s="199"/>
      <c r="AF64" s="199"/>
      <c r="AG64" s="199"/>
      <c r="AH64" s="199"/>
      <c r="AI64" s="199"/>
      <c r="AJ64" s="199"/>
      <c r="AK64" s="199"/>
      <c r="AL64" s="199"/>
      <c r="AM64" s="199"/>
      <c r="AN64" s="199"/>
      <c r="AO64" s="199"/>
      <c r="AP64" s="199"/>
      <c r="AQ64" s="199"/>
      <c r="AR64" s="199"/>
      <c r="AS64" s="199"/>
      <c r="AT64" s="199"/>
      <c r="AU64" s="199"/>
      <c r="AV64" s="199"/>
      <c r="AW64" s="199"/>
      <c r="AX64" s="199"/>
      <c r="AY64" s="199"/>
      <c r="AZ64" s="199"/>
      <c r="BA64" s="199"/>
      <c r="BB64" s="199"/>
      <c r="BC64" s="199"/>
      <c r="BD64" s="199"/>
      <c r="BE64" s="199"/>
      <c r="BF64" s="199"/>
      <c r="BG64" s="199"/>
      <c r="BH64" s="199"/>
      <c r="BI64" s="199"/>
      <c r="BJ64" s="199"/>
      <c r="BK64" s="199"/>
      <c r="BL64" s="199"/>
      <c r="BM64" s="199"/>
      <c r="BN64" s="199"/>
      <c r="BO64" s="199"/>
      <c r="BP64" s="199"/>
      <c r="BQ64" s="199"/>
      <c r="BR64" s="199"/>
      <c r="BS64" s="199"/>
      <c r="BT64" s="199"/>
      <c r="BU64" s="199"/>
      <c r="BV64" s="199"/>
      <c r="BW64" s="199"/>
      <c r="BX64" s="199"/>
      <c r="BY64" s="199"/>
      <c r="BZ64" s="199"/>
      <c r="CA64" s="199"/>
      <c r="CB64" s="199"/>
      <c r="CC64" s="199"/>
      <c r="CD64" s="199"/>
      <c r="CE64" s="199"/>
      <c r="CF64" s="199"/>
      <c r="CG64" s="199"/>
      <c r="CH64" s="199"/>
      <c r="CI64" s="199"/>
      <c r="CJ64" s="199"/>
      <c r="CK64" s="199"/>
      <c r="CL64" s="199"/>
      <c r="CM64" s="199"/>
      <c r="CN64" s="199"/>
      <c r="CO64" s="199"/>
      <c r="CP64" s="199"/>
      <c r="CQ64" s="199"/>
      <c r="CR64" s="199"/>
      <c r="CS64" s="199"/>
      <c r="CT64" s="199"/>
      <c r="CU64" s="199"/>
      <c r="CV64" s="199"/>
      <c r="CW64" s="199"/>
      <c r="CX64" s="199"/>
      <c r="CY64" s="199"/>
      <c r="CZ64" s="199"/>
      <c r="DA64" s="199"/>
      <c r="DB64" s="199"/>
      <c r="DC64" s="199"/>
      <c r="DD64" s="199"/>
      <c r="DE64" s="199"/>
      <c r="DF64" s="199"/>
      <c r="DG64" s="199"/>
      <c r="DH64" s="199"/>
      <c r="DI64" s="199"/>
      <c r="DJ64" s="199"/>
      <c r="DK64" s="199"/>
      <c r="DL64" s="199"/>
      <c r="DM64" s="199"/>
      <c r="DN64" s="199"/>
      <c r="DO64" s="199"/>
      <c r="DP64" s="199"/>
      <c r="DQ64" s="199"/>
      <c r="DR64" s="199"/>
      <c r="DS64" s="199"/>
      <c r="DT64" s="199"/>
      <c r="DU64" s="199"/>
      <c r="DV64" s="199"/>
      <c r="DW64" s="199"/>
      <c r="DX64" s="199"/>
      <c r="DY64" s="199"/>
      <c r="DZ64" s="199"/>
      <c r="EA64" s="199"/>
      <c r="EB64" s="199"/>
      <c r="EC64" s="199"/>
      <c r="ED64" s="199"/>
      <c r="EE64" s="199"/>
      <c r="EF64" s="199"/>
      <c r="EG64" s="199"/>
      <c r="EH64" s="199"/>
      <c r="EI64" s="199"/>
      <c r="EJ64" s="199"/>
      <c r="EK64" s="199"/>
      <c r="EL64" s="199"/>
      <c r="EM64" s="199"/>
      <c r="EN64" s="199"/>
      <c r="EO64" s="199"/>
      <c r="EP64" s="199"/>
      <c r="EQ64" s="199"/>
      <c r="ER64" s="199"/>
      <c r="ES64" s="199"/>
      <c r="ET64" s="199"/>
      <c r="EU64" s="199"/>
      <c r="EV64" s="199"/>
      <c r="EW64" s="199"/>
      <c r="EX64" s="199"/>
      <c r="EY64" s="199"/>
    </row>
    <row r="65" spans="1:155" s="213" customFormat="1" ht="25.15" customHeight="1">
      <c r="A65" s="206">
        <v>30</v>
      </c>
      <c r="B65" s="212" t="s">
        <v>52</v>
      </c>
      <c r="C65" s="206" t="s">
        <v>158</v>
      </c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199"/>
      <c r="AB65" s="199"/>
      <c r="AC65" s="199"/>
      <c r="AD65" s="199"/>
      <c r="AE65" s="199"/>
      <c r="AF65" s="199"/>
      <c r="AG65" s="199"/>
      <c r="AH65" s="199"/>
      <c r="AI65" s="199"/>
      <c r="AJ65" s="199"/>
      <c r="AK65" s="199"/>
      <c r="AL65" s="199"/>
      <c r="AM65" s="199"/>
      <c r="AN65" s="199"/>
      <c r="AO65" s="199"/>
      <c r="AP65" s="199"/>
      <c r="AQ65" s="199"/>
      <c r="AR65" s="199"/>
      <c r="AS65" s="199"/>
      <c r="AT65" s="199"/>
      <c r="AU65" s="199"/>
      <c r="AV65" s="199"/>
      <c r="AW65" s="199"/>
      <c r="AX65" s="199"/>
      <c r="AY65" s="199"/>
      <c r="AZ65" s="199"/>
      <c r="BA65" s="199"/>
      <c r="BB65" s="199"/>
      <c r="BC65" s="199"/>
      <c r="BD65" s="199"/>
      <c r="BE65" s="199"/>
      <c r="BF65" s="199"/>
      <c r="BG65" s="199"/>
      <c r="BH65" s="199"/>
      <c r="BI65" s="199"/>
      <c r="BJ65" s="199"/>
      <c r="BK65" s="199"/>
      <c r="BL65" s="199"/>
      <c r="BM65" s="199"/>
      <c r="BN65" s="199"/>
      <c r="BO65" s="199"/>
      <c r="BP65" s="199"/>
      <c r="BQ65" s="199"/>
      <c r="BR65" s="199"/>
      <c r="BS65" s="199"/>
      <c r="BT65" s="199"/>
      <c r="BU65" s="199"/>
      <c r="BV65" s="199"/>
      <c r="BW65" s="199"/>
      <c r="BX65" s="199"/>
      <c r="BY65" s="199"/>
      <c r="BZ65" s="199"/>
      <c r="CA65" s="199"/>
      <c r="CB65" s="199"/>
      <c r="CC65" s="199"/>
      <c r="CD65" s="199"/>
      <c r="CE65" s="199"/>
      <c r="CF65" s="199"/>
      <c r="CG65" s="199"/>
      <c r="CH65" s="199"/>
      <c r="CI65" s="199"/>
      <c r="CJ65" s="199"/>
      <c r="CK65" s="199"/>
      <c r="CL65" s="199"/>
      <c r="CM65" s="199"/>
      <c r="CN65" s="199"/>
      <c r="CO65" s="199"/>
      <c r="CP65" s="199"/>
      <c r="CQ65" s="199"/>
      <c r="CR65" s="199"/>
      <c r="CS65" s="199"/>
      <c r="CT65" s="199"/>
      <c r="CU65" s="199"/>
      <c r="CV65" s="199"/>
      <c r="CW65" s="199"/>
      <c r="CX65" s="199"/>
      <c r="CY65" s="199"/>
      <c r="CZ65" s="199"/>
      <c r="DA65" s="199"/>
      <c r="DB65" s="199"/>
      <c r="DC65" s="199"/>
      <c r="DD65" s="199"/>
      <c r="DE65" s="199"/>
      <c r="DF65" s="199"/>
      <c r="DG65" s="199"/>
      <c r="DH65" s="199"/>
      <c r="DI65" s="199"/>
      <c r="DJ65" s="199"/>
      <c r="DK65" s="199"/>
      <c r="DL65" s="199"/>
      <c r="DM65" s="199"/>
      <c r="DN65" s="199"/>
      <c r="DO65" s="199"/>
      <c r="DP65" s="199"/>
      <c r="DQ65" s="199"/>
      <c r="DR65" s="199"/>
      <c r="DS65" s="199"/>
      <c r="DT65" s="199"/>
      <c r="DU65" s="199"/>
      <c r="DV65" s="199"/>
      <c r="DW65" s="199"/>
      <c r="DX65" s="199"/>
      <c r="DY65" s="199"/>
      <c r="DZ65" s="199"/>
      <c r="EA65" s="199"/>
      <c r="EB65" s="199"/>
      <c r="EC65" s="199"/>
      <c r="ED65" s="199"/>
      <c r="EE65" s="199"/>
      <c r="EF65" s="199"/>
      <c r="EG65" s="199"/>
      <c r="EH65" s="199"/>
      <c r="EI65" s="199"/>
      <c r="EJ65" s="199"/>
      <c r="EK65" s="199"/>
      <c r="EL65" s="199"/>
      <c r="EM65" s="199"/>
      <c r="EN65" s="199"/>
      <c r="EO65" s="199"/>
      <c r="EP65" s="199"/>
      <c r="EQ65" s="199"/>
      <c r="ER65" s="199"/>
      <c r="ES65" s="199"/>
      <c r="ET65" s="199"/>
      <c r="EU65" s="199"/>
      <c r="EV65" s="199"/>
      <c r="EW65" s="199"/>
      <c r="EX65" s="199"/>
      <c r="EY65" s="199"/>
    </row>
    <row r="66" spans="1:155" s="213" customFormat="1" ht="25.15" customHeight="1">
      <c r="A66" s="206">
        <v>31</v>
      </c>
      <c r="B66" s="212" t="s">
        <v>52</v>
      </c>
      <c r="C66" s="183" t="s">
        <v>159</v>
      </c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199"/>
      <c r="AB66" s="199"/>
      <c r="AC66" s="199"/>
      <c r="AD66" s="199"/>
      <c r="AE66" s="199"/>
      <c r="AF66" s="199"/>
      <c r="AG66" s="199"/>
      <c r="AH66" s="199"/>
      <c r="AI66" s="199"/>
      <c r="AJ66" s="199"/>
      <c r="AK66" s="199"/>
      <c r="AL66" s="199"/>
      <c r="AM66" s="199"/>
      <c r="AN66" s="199"/>
      <c r="AO66" s="199"/>
      <c r="AP66" s="199"/>
      <c r="AQ66" s="199"/>
      <c r="AR66" s="199"/>
      <c r="AS66" s="199"/>
      <c r="AT66" s="199"/>
      <c r="AU66" s="199"/>
      <c r="AV66" s="199"/>
      <c r="AW66" s="199"/>
      <c r="AX66" s="199"/>
      <c r="AY66" s="199"/>
      <c r="AZ66" s="199"/>
      <c r="BA66" s="199"/>
      <c r="BB66" s="199"/>
      <c r="BC66" s="199"/>
      <c r="BD66" s="199"/>
      <c r="BE66" s="199"/>
      <c r="BF66" s="199"/>
      <c r="BG66" s="199"/>
      <c r="BH66" s="199"/>
      <c r="BI66" s="199"/>
      <c r="BJ66" s="199"/>
      <c r="BK66" s="199"/>
      <c r="BL66" s="199"/>
      <c r="BM66" s="199"/>
      <c r="BN66" s="199"/>
      <c r="BO66" s="199"/>
      <c r="BP66" s="199"/>
      <c r="BQ66" s="199"/>
      <c r="BR66" s="199"/>
      <c r="BS66" s="199"/>
      <c r="BT66" s="199"/>
      <c r="BU66" s="199"/>
      <c r="BV66" s="199"/>
      <c r="BW66" s="199"/>
      <c r="BX66" s="199"/>
      <c r="BY66" s="199"/>
      <c r="BZ66" s="199"/>
      <c r="CA66" s="199"/>
      <c r="CB66" s="199"/>
      <c r="CC66" s="199"/>
      <c r="CD66" s="199"/>
      <c r="CE66" s="199"/>
      <c r="CF66" s="199"/>
      <c r="CG66" s="199"/>
      <c r="CH66" s="199"/>
      <c r="CI66" s="199"/>
      <c r="CJ66" s="199"/>
      <c r="CK66" s="199"/>
      <c r="CL66" s="199"/>
      <c r="CM66" s="199"/>
      <c r="CN66" s="199"/>
      <c r="CO66" s="199"/>
      <c r="CP66" s="199"/>
      <c r="CQ66" s="199"/>
      <c r="CR66" s="199"/>
      <c r="CS66" s="199"/>
      <c r="CT66" s="199"/>
      <c r="CU66" s="199"/>
      <c r="CV66" s="199"/>
      <c r="CW66" s="199"/>
      <c r="CX66" s="199"/>
      <c r="CY66" s="199"/>
      <c r="CZ66" s="199"/>
      <c r="DA66" s="199"/>
      <c r="DB66" s="199"/>
      <c r="DC66" s="199"/>
      <c r="DD66" s="199"/>
      <c r="DE66" s="199"/>
      <c r="DF66" s="199"/>
      <c r="DG66" s="199"/>
      <c r="DH66" s="199"/>
      <c r="DI66" s="199"/>
      <c r="DJ66" s="199"/>
      <c r="DK66" s="199"/>
      <c r="DL66" s="199"/>
      <c r="DM66" s="199"/>
      <c r="DN66" s="199"/>
      <c r="DO66" s="199"/>
      <c r="DP66" s="199"/>
      <c r="DQ66" s="199"/>
      <c r="DR66" s="199"/>
      <c r="DS66" s="199"/>
      <c r="DT66" s="199"/>
      <c r="DU66" s="199"/>
      <c r="DV66" s="199"/>
      <c r="DW66" s="199"/>
      <c r="DX66" s="199"/>
      <c r="DY66" s="199"/>
      <c r="DZ66" s="199"/>
      <c r="EA66" s="199"/>
      <c r="EB66" s="199"/>
      <c r="EC66" s="199"/>
      <c r="ED66" s="199"/>
      <c r="EE66" s="199"/>
      <c r="EF66" s="199"/>
      <c r="EG66" s="199"/>
      <c r="EH66" s="199"/>
      <c r="EI66" s="199"/>
      <c r="EJ66" s="199"/>
      <c r="EK66" s="199"/>
      <c r="EL66" s="199"/>
      <c r="EM66" s="199"/>
      <c r="EN66" s="199"/>
      <c r="EO66" s="199"/>
      <c r="EP66" s="199"/>
      <c r="EQ66" s="199"/>
      <c r="ER66" s="199"/>
      <c r="ES66" s="199"/>
      <c r="ET66" s="199"/>
      <c r="EU66" s="199"/>
      <c r="EV66" s="199"/>
      <c r="EW66" s="199"/>
      <c r="EX66" s="199"/>
      <c r="EY66" s="199"/>
    </row>
    <row r="67" spans="1:155" s="213" customFormat="1" ht="25.15" customHeight="1">
      <c r="A67" s="206">
        <v>32</v>
      </c>
      <c r="B67" s="212" t="s">
        <v>52</v>
      </c>
      <c r="C67" s="183" t="s">
        <v>160</v>
      </c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199"/>
      <c r="AB67" s="199"/>
      <c r="AC67" s="199"/>
      <c r="AD67" s="199"/>
      <c r="AE67" s="199"/>
      <c r="AF67" s="199"/>
      <c r="AG67" s="199"/>
      <c r="AH67" s="199"/>
      <c r="AI67" s="199"/>
      <c r="AJ67" s="199"/>
      <c r="AK67" s="199"/>
      <c r="AL67" s="199"/>
      <c r="AM67" s="199"/>
      <c r="AN67" s="199"/>
      <c r="AO67" s="199"/>
      <c r="AP67" s="199"/>
      <c r="AQ67" s="199"/>
      <c r="AR67" s="199"/>
      <c r="AS67" s="199"/>
      <c r="AT67" s="199"/>
      <c r="AU67" s="199"/>
      <c r="AV67" s="199"/>
      <c r="AW67" s="199"/>
      <c r="AX67" s="199"/>
      <c r="AY67" s="199"/>
      <c r="AZ67" s="199"/>
      <c r="BA67" s="199"/>
      <c r="BB67" s="199"/>
      <c r="BC67" s="199"/>
      <c r="BD67" s="199"/>
      <c r="BE67" s="199"/>
      <c r="BF67" s="199"/>
      <c r="BG67" s="199"/>
      <c r="BH67" s="199"/>
      <c r="BI67" s="199"/>
      <c r="BJ67" s="199"/>
      <c r="BK67" s="199"/>
      <c r="BL67" s="199"/>
      <c r="BM67" s="199"/>
      <c r="BN67" s="199"/>
      <c r="BO67" s="199"/>
      <c r="BP67" s="199"/>
      <c r="BQ67" s="199"/>
      <c r="BR67" s="199"/>
      <c r="BS67" s="199"/>
      <c r="BT67" s="199"/>
      <c r="BU67" s="199"/>
      <c r="BV67" s="199"/>
      <c r="BW67" s="199"/>
      <c r="BX67" s="199"/>
      <c r="BY67" s="199"/>
      <c r="BZ67" s="199"/>
      <c r="CA67" s="199"/>
      <c r="CB67" s="199"/>
      <c r="CC67" s="199"/>
      <c r="CD67" s="199"/>
      <c r="CE67" s="199"/>
      <c r="CF67" s="199"/>
      <c r="CG67" s="199"/>
      <c r="CH67" s="199"/>
      <c r="CI67" s="199"/>
      <c r="CJ67" s="199"/>
      <c r="CK67" s="199"/>
      <c r="CL67" s="199"/>
      <c r="CM67" s="199"/>
      <c r="CN67" s="199"/>
      <c r="CO67" s="199"/>
      <c r="CP67" s="199"/>
      <c r="CQ67" s="199"/>
      <c r="CR67" s="199"/>
      <c r="CS67" s="199"/>
      <c r="CT67" s="199"/>
      <c r="CU67" s="199"/>
      <c r="CV67" s="199"/>
      <c r="CW67" s="199"/>
      <c r="CX67" s="199"/>
      <c r="CY67" s="199"/>
      <c r="CZ67" s="199"/>
      <c r="DA67" s="199"/>
      <c r="DB67" s="199"/>
      <c r="DC67" s="199"/>
      <c r="DD67" s="199"/>
      <c r="DE67" s="199"/>
      <c r="DF67" s="199"/>
      <c r="DG67" s="199"/>
      <c r="DH67" s="199"/>
      <c r="DI67" s="199"/>
      <c r="DJ67" s="199"/>
      <c r="DK67" s="199"/>
      <c r="DL67" s="199"/>
      <c r="DM67" s="199"/>
      <c r="DN67" s="199"/>
      <c r="DO67" s="199"/>
      <c r="DP67" s="199"/>
      <c r="DQ67" s="199"/>
      <c r="DR67" s="199"/>
      <c r="DS67" s="199"/>
      <c r="DT67" s="199"/>
      <c r="DU67" s="199"/>
      <c r="DV67" s="199"/>
      <c r="DW67" s="199"/>
      <c r="DX67" s="199"/>
      <c r="DY67" s="199"/>
      <c r="DZ67" s="199"/>
      <c r="EA67" s="199"/>
      <c r="EB67" s="199"/>
      <c r="EC67" s="199"/>
      <c r="ED67" s="199"/>
      <c r="EE67" s="199"/>
      <c r="EF67" s="199"/>
      <c r="EG67" s="199"/>
      <c r="EH67" s="199"/>
      <c r="EI67" s="199"/>
      <c r="EJ67" s="199"/>
      <c r="EK67" s="199"/>
      <c r="EL67" s="199"/>
      <c r="EM67" s="199"/>
      <c r="EN67" s="199"/>
      <c r="EO67" s="199"/>
      <c r="EP67" s="199"/>
      <c r="EQ67" s="199"/>
      <c r="ER67" s="199"/>
      <c r="ES67" s="199"/>
      <c r="ET67" s="199"/>
      <c r="EU67" s="199"/>
      <c r="EV67" s="199"/>
      <c r="EW67" s="199"/>
      <c r="EX67" s="199"/>
      <c r="EY67" s="199"/>
    </row>
    <row r="68" spans="1:155" s="213" customFormat="1" ht="25.15" customHeight="1">
      <c r="A68" s="206">
        <v>33</v>
      </c>
      <c r="B68" s="212" t="s">
        <v>52</v>
      </c>
      <c r="C68" s="183" t="s">
        <v>162</v>
      </c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199"/>
      <c r="AF68" s="199"/>
      <c r="AG68" s="199"/>
      <c r="AH68" s="199"/>
      <c r="AI68" s="199"/>
      <c r="AJ68" s="199"/>
      <c r="AK68" s="199"/>
      <c r="AL68" s="199"/>
      <c r="AM68" s="199"/>
      <c r="AN68" s="199"/>
      <c r="AO68" s="199"/>
      <c r="AP68" s="199"/>
      <c r="AQ68" s="199"/>
      <c r="AR68" s="199"/>
      <c r="AS68" s="199"/>
      <c r="AT68" s="199"/>
      <c r="AU68" s="199"/>
      <c r="AV68" s="199"/>
      <c r="AW68" s="199"/>
      <c r="AX68" s="199"/>
      <c r="AY68" s="199"/>
      <c r="AZ68" s="199"/>
      <c r="BA68" s="199"/>
      <c r="BB68" s="199"/>
      <c r="BC68" s="199"/>
      <c r="BD68" s="199"/>
      <c r="BE68" s="199"/>
      <c r="BF68" s="199"/>
      <c r="BG68" s="199"/>
      <c r="BH68" s="199"/>
      <c r="BI68" s="199"/>
      <c r="BJ68" s="199"/>
      <c r="BK68" s="199"/>
      <c r="BL68" s="199"/>
      <c r="BM68" s="199"/>
      <c r="BN68" s="199"/>
      <c r="BO68" s="199"/>
      <c r="BP68" s="199"/>
      <c r="BQ68" s="199"/>
      <c r="BR68" s="199"/>
      <c r="BS68" s="199"/>
      <c r="BT68" s="199"/>
      <c r="BU68" s="199"/>
      <c r="BV68" s="199"/>
      <c r="BW68" s="199"/>
      <c r="BX68" s="199"/>
      <c r="BY68" s="199"/>
      <c r="BZ68" s="199"/>
      <c r="CA68" s="199"/>
      <c r="CB68" s="199"/>
      <c r="CC68" s="199"/>
      <c r="CD68" s="199"/>
      <c r="CE68" s="199"/>
      <c r="CF68" s="199"/>
      <c r="CG68" s="199"/>
      <c r="CH68" s="199"/>
      <c r="CI68" s="199"/>
      <c r="CJ68" s="199"/>
      <c r="CK68" s="199"/>
      <c r="CL68" s="199"/>
      <c r="CM68" s="199"/>
      <c r="CN68" s="199"/>
      <c r="CO68" s="199"/>
      <c r="CP68" s="199"/>
      <c r="CQ68" s="199"/>
      <c r="CR68" s="199"/>
      <c r="CS68" s="199"/>
      <c r="CT68" s="199"/>
      <c r="CU68" s="199"/>
      <c r="CV68" s="199"/>
      <c r="CW68" s="199"/>
      <c r="CX68" s="199"/>
      <c r="CY68" s="199"/>
      <c r="CZ68" s="199"/>
      <c r="DA68" s="199"/>
      <c r="DB68" s="199"/>
      <c r="DC68" s="199"/>
      <c r="DD68" s="199"/>
      <c r="DE68" s="199"/>
      <c r="DF68" s="199"/>
      <c r="DG68" s="199"/>
      <c r="DH68" s="199"/>
      <c r="DI68" s="199"/>
      <c r="DJ68" s="199"/>
      <c r="DK68" s="199"/>
      <c r="DL68" s="199"/>
      <c r="DM68" s="199"/>
      <c r="DN68" s="199"/>
      <c r="DO68" s="199"/>
      <c r="DP68" s="199"/>
      <c r="DQ68" s="199"/>
      <c r="DR68" s="199"/>
      <c r="DS68" s="199"/>
      <c r="DT68" s="199"/>
      <c r="DU68" s="199"/>
      <c r="DV68" s="199"/>
      <c r="DW68" s="199"/>
      <c r="DX68" s="199"/>
      <c r="DY68" s="199"/>
      <c r="DZ68" s="199"/>
      <c r="EA68" s="199"/>
      <c r="EB68" s="199"/>
      <c r="EC68" s="199"/>
      <c r="ED68" s="199"/>
      <c r="EE68" s="199"/>
      <c r="EF68" s="199"/>
      <c r="EG68" s="199"/>
      <c r="EH68" s="199"/>
      <c r="EI68" s="199"/>
      <c r="EJ68" s="199"/>
      <c r="EK68" s="199"/>
      <c r="EL68" s="199"/>
      <c r="EM68" s="199"/>
      <c r="EN68" s="199"/>
      <c r="EO68" s="199"/>
      <c r="EP68" s="199"/>
      <c r="EQ68" s="199"/>
      <c r="ER68" s="199"/>
      <c r="ES68" s="199"/>
      <c r="ET68" s="199"/>
      <c r="EU68" s="199"/>
      <c r="EV68" s="199"/>
      <c r="EW68" s="199"/>
      <c r="EX68" s="199"/>
      <c r="EY68" s="199"/>
    </row>
    <row r="69" spans="1:155" s="213" customFormat="1" ht="25.15" customHeight="1">
      <c r="A69" s="206">
        <v>34</v>
      </c>
      <c r="B69" s="212" t="s">
        <v>52</v>
      </c>
      <c r="C69" s="183" t="s">
        <v>163</v>
      </c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199"/>
      <c r="AB69" s="199"/>
      <c r="AC69" s="199"/>
      <c r="AD69" s="199"/>
      <c r="AE69" s="199"/>
      <c r="AF69" s="199"/>
      <c r="AG69" s="199"/>
      <c r="AH69" s="199"/>
      <c r="AI69" s="199"/>
      <c r="AJ69" s="199"/>
      <c r="AK69" s="199"/>
      <c r="AL69" s="199"/>
      <c r="AM69" s="199"/>
      <c r="AN69" s="199"/>
      <c r="AO69" s="199"/>
      <c r="AP69" s="199"/>
      <c r="AQ69" s="199"/>
      <c r="AR69" s="199"/>
      <c r="AS69" s="199"/>
      <c r="AT69" s="199"/>
      <c r="AU69" s="199"/>
      <c r="AV69" s="199"/>
      <c r="AW69" s="199"/>
      <c r="AX69" s="199"/>
      <c r="AY69" s="199"/>
      <c r="AZ69" s="199"/>
      <c r="BA69" s="199"/>
      <c r="BB69" s="199"/>
      <c r="BC69" s="199"/>
      <c r="BD69" s="199"/>
      <c r="BE69" s="199"/>
      <c r="BF69" s="199"/>
      <c r="BG69" s="199"/>
      <c r="BH69" s="199"/>
      <c r="BI69" s="199"/>
      <c r="BJ69" s="199"/>
      <c r="BK69" s="199"/>
      <c r="BL69" s="199"/>
      <c r="BM69" s="199"/>
      <c r="BN69" s="199"/>
      <c r="BO69" s="199"/>
      <c r="BP69" s="199"/>
      <c r="BQ69" s="199"/>
      <c r="BR69" s="199"/>
      <c r="BS69" s="199"/>
      <c r="BT69" s="199"/>
      <c r="BU69" s="199"/>
      <c r="BV69" s="199"/>
      <c r="BW69" s="199"/>
      <c r="BX69" s="199"/>
      <c r="BY69" s="199"/>
      <c r="BZ69" s="199"/>
      <c r="CA69" s="199"/>
      <c r="CB69" s="199"/>
      <c r="CC69" s="199"/>
      <c r="CD69" s="199"/>
      <c r="CE69" s="199"/>
      <c r="CF69" s="199"/>
      <c r="CG69" s="199"/>
      <c r="CH69" s="199"/>
      <c r="CI69" s="199"/>
      <c r="CJ69" s="199"/>
      <c r="CK69" s="199"/>
      <c r="CL69" s="199"/>
      <c r="CM69" s="199"/>
      <c r="CN69" s="199"/>
      <c r="CO69" s="199"/>
      <c r="CP69" s="199"/>
      <c r="CQ69" s="199"/>
      <c r="CR69" s="199"/>
      <c r="CS69" s="199"/>
      <c r="CT69" s="199"/>
      <c r="CU69" s="199"/>
      <c r="CV69" s="199"/>
      <c r="CW69" s="199"/>
      <c r="CX69" s="199"/>
      <c r="CY69" s="199"/>
      <c r="CZ69" s="199"/>
      <c r="DA69" s="199"/>
      <c r="DB69" s="199"/>
      <c r="DC69" s="199"/>
      <c r="DD69" s="199"/>
      <c r="DE69" s="199"/>
      <c r="DF69" s="199"/>
      <c r="DG69" s="199"/>
      <c r="DH69" s="199"/>
      <c r="DI69" s="199"/>
      <c r="DJ69" s="199"/>
      <c r="DK69" s="199"/>
      <c r="DL69" s="199"/>
      <c r="DM69" s="199"/>
      <c r="DN69" s="199"/>
      <c r="DO69" s="199"/>
      <c r="DP69" s="199"/>
      <c r="DQ69" s="199"/>
      <c r="DR69" s="199"/>
      <c r="DS69" s="199"/>
      <c r="DT69" s="199"/>
      <c r="DU69" s="199"/>
      <c r="DV69" s="199"/>
      <c r="DW69" s="199"/>
      <c r="DX69" s="199"/>
      <c r="DY69" s="199"/>
      <c r="DZ69" s="199"/>
      <c r="EA69" s="199"/>
      <c r="EB69" s="199"/>
      <c r="EC69" s="199"/>
      <c r="ED69" s="199"/>
      <c r="EE69" s="199"/>
      <c r="EF69" s="199"/>
      <c r="EG69" s="199"/>
      <c r="EH69" s="199"/>
      <c r="EI69" s="199"/>
      <c r="EJ69" s="199"/>
      <c r="EK69" s="199"/>
      <c r="EL69" s="199"/>
      <c r="EM69" s="199"/>
      <c r="EN69" s="199"/>
      <c r="EO69" s="199"/>
      <c r="EP69" s="199"/>
      <c r="EQ69" s="199"/>
      <c r="ER69" s="199"/>
      <c r="ES69" s="199"/>
      <c r="ET69" s="199"/>
      <c r="EU69" s="199"/>
      <c r="EV69" s="199"/>
      <c r="EW69" s="199"/>
      <c r="EX69" s="199"/>
      <c r="EY69" s="199"/>
    </row>
    <row r="70" spans="1:155" s="213" customFormat="1" ht="25.15" customHeight="1">
      <c r="A70" s="206">
        <v>35</v>
      </c>
      <c r="B70" s="212" t="s">
        <v>52</v>
      </c>
      <c r="C70" s="183" t="s">
        <v>165</v>
      </c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  <c r="AB70" s="199"/>
      <c r="AC70" s="199"/>
      <c r="AD70" s="199"/>
      <c r="AE70" s="199"/>
      <c r="AF70" s="199"/>
      <c r="AG70" s="199"/>
      <c r="AH70" s="199"/>
      <c r="AI70" s="199"/>
      <c r="AJ70" s="199"/>
      <c r="AK70" s="199"/>
      <c r="AL70" s="199"/>
      <c r="AM70" s="199"/>
      <c r="AN70" s="199"/>
      <c r="AO70" s="199"/>
      <c r="AP70" s="199"/>
      <c r="AQ70" s="199"/>
      <c r="AR70" s="199"/>
      <c r="AS70" s="199"/>
      <c r="AT70" s="199"/>
      <c r="AU70" s="199"/>
      <c r="AV70" s="199"/>
      <c r="AW70" s="199"/>
      <c r="AX70" s="199"/>
      <c r="AY70" s="199"/>
      <c r="AZ70" s="199"/>
      <c r="BA70" s="199"/>
      <c r="BB70" s="199"/>
      <c r="BC70" s="199"/>
      <c r="BD70" s="199"/>
      <c r="BE70" s="199"/>
      <c r="BF70" s="199"/>
      <c r="BG70" s="199"/>
      <c r="BH70" s="199"/>
      <c r="BI70" s="199"/>
      <c r="BJ70" s="199"/>
      <c r="BK70" s="199"/>
      <c r="BL70" s="199"/>
      <c r="BM70" s="199"/>
      <c r="BN70" s="199"/>
      <c r="BO70" s="199"/>
      <c r="BP70" s="199"/>
      <c r="BQ70" s="199"/>
      <c r="BR70" s="199"/>
      <c r="BS70" s="199"/>
      <c r="BT70" s="199"/>
      <c r="BU70" s="199"/>
      <c r="BV70" s="199"/>
      <c r="BW70" s="199"/>
      <c r="BX70" s="199"/>
      <c r="BY70" s="199"/>
      <c r="BZ70" s="199"/>
      <c r="CA70" s="199"/>
      <c r="CB70" s="199"/>
      <c r="CC70" s="199"/>
      <c r="CD70" s="199"/>
      <c r="CE70" s="199"/>
      <c r="CF70" s="199"/>
      <c r="CG70" s="199"/>
      <c r="CH70" s="199"/>
      <c r="CI70" s="199"/>
      <c r="CJ70" s="199"/>
      <c r="CK70" s="199"/>
      <c r="CL70" s="199"/>
      <c r="CM70" s="199"/>
      <c r="CN70" s="199"/>
      <c r="CO70" s="199"/>
      <c r="CP70" s="199"/>
      <c r="CQ70" s="199"/>
      <c r="CR70" s="199"/>
      <c r="CS70" s="199"/>
      <c r="CT70" s="199"/>
      <c r="CU70" s="199"/>
      <c r="CV70" s="199"/>
      <c r="CW70" s="199"/>
      <c r="CX70" s="199"/>
      <c r="CY70" s="199"/>
      <c r="CZ70" s="199"/>
      <c r="DA70" s="199"/>
      <c r="DB70" s="199"/>
      <c r="DC70" s="199"/>
      <c r="DD70" s="199"/>
      <c r="DE70" s="199"/>
      <c r="DF70" s="199"/>
      <c r="DG70" s="199"/>
      <c r="DH70" s="199"/>
      <c r="DI70" s="199"/>
      <c r="DJ70" s="199"/>
      <c r="DK70" s="199"/>
      <c r="DL70" s="199"/>
      <c r="DM70" s="199"/>
      <c r="DN70" s="199"/>
      <c r="DO70" s="199"/>
      <c r="DP70" s="199"/>
      <c r="DQ70" s="199"/>
      <c r="DR70" s="199"/>
      <c r="DS70" s="199"/>
      <c r="DT70" s="199"/>
      <c r="DU70" s="199"/>
      <c r="DV70" s="199"/>
      <c r="DW70" s="199"/>
      <c r="DX70" s="199"/>
      <c r="DY70" s="199"/>
      <c r="DZ70" s="199"/>
      <c r="EA70" s="199"/>
      <c r="EB70" s="199"/>
      <c r="EC70" s="199"/>
      <c r="ED70" s="199"/>
      <c r="EE70" s="199"/>
      <c r="EF70" s="199"/>
      <c r="EG70" s="199"/>
      <c r="EH70" s="199"/>
      <c r="EI70" s="199"/>
      <c r="EJ70" s="199"/>
      <c r="EK70" s="199"/>
      <c r="EL70" s="199"/>
      <c r="EM70" s="199"/>
      <c r="EN70" s="199"/>
      <c r="EO70" s="199"/>
      <c r="EP70" s="199"/>
      <c r="EQ70" s="199"/>
      <c r="ER70" s="199"/>
      <c r="ES70" s="199"/>
      <c r="ET70" s="199"/>
      <c r="EU70" s="199"/>
      <c r="EV70" s="199"/>
      <c r="EW70" s="199"/>
      <c r="EX70" s="199"/>
      <c r="EY70" s="199"/>
    </row>
    <row r="71" spans="1:155" s="213" customFormat="1" ht="25.15" customHeight="1">
      <c r="A71" s="206">
        <v>36</v>
      </c>
      <c r="B71" s="212" t="s">
        <v>39</v>
      </c>
      <c r="C71" s="183" t="s">
        <v>86</v>
      </c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199"/>
      <c r="AG71" s="199"/>
      <c r="AH71" s="199"/>
      <c r="AI71" s="199"/>
      <c r="AJ71" s="199"/>
      <c r="AK71" s="199"/>
      <c r="AL71" s="199"/>
      <c r="AM71" s="199"/>
      <c r="AN71" s="199"/>
      <c r="AO71" s="199"/>
      <c r="AP71" s="199"/>
      <c r="AQ71" s="199"/>
      <c r="AR71" s="199"/>
      <c r="AS71" s="199"/>
      <c r="AT71" s="199"/>
      <c r="AU71" s="199"/>
      <c r="AV71" s="199"/>
      <c r="AW71" s="199"/>
      <c r="AX71" s="199"/>
      <c r="AY71" s="199"/>
      <c r="AZ71" s="199"/>
      <c r="BA71" s="199"/>
      <c r="BB71" s="199"/>
      <c r="BC71" s="199"/>
      <c r="BD71" s="199"/>
      <c r="BE71" s="199"/>
      <c r="BF71" s="199"/>
      <c r="BG71" s="199"/>
      <c r="BH71" s="199"/>
      <c r="BI71" s="199"/>
      <c r="BJ71" s="199"/>
      <c r="BK71" s="199"/>
      <c r="BL71" s="199"/>
      <c r="BM71" s="199"/>
      <c r="BN71" s="199"/>
      <c r="BO71" s="199"/>
      <c r="BP71" s="199"/>
      <c r="BQ71" s="199"/>
      <c r="BR71" s="199"/>
      <c r="BS71" s="199"/>
      <c r="BT71" s="199"/>
      <c r="BU71" s="199"/>
      <c r="BV71" s="199"/>
      <c r="BW71" s="199"/>
      <c r="BX71" s="199"/>
      <c r="BY71" s="199"/>
      <c r="BZ71" s="199"/>
      <c r="CA71" s="199"/>
      <c r="CB71" s="199"/>
      <c r="CC71" s="199"/>
      <c r="CD71" s="199"/>
      <c r="CE71" s="199"/>
      <c r="CF71" s="199"/>
      <c r="CG71" s="199"/>
      <c r="CH71" s="199"/>
      <c r="CI71" s="199"/>
      <c r="CJ71" s="199"/>
      <c r="CK71" s="199"/>
      <c r="CL71" s="199"/>
      <c r="CM71" s="199"/>
      <c r="CN71" s="199"/>
      <c r="CO71" s="199"/>
      <c r="CP71" s="199"/>
      <c r="CQ71" s="199"/>
      <c r="CR71" s="199"/>
      <c r="CS71" s="199"/>
      <c r="CT71" s="199"/>
      <c r="CU71" s="199"/>
      <c r="CV71" s="199"/>
      <c r="CW71" s="199"/>
      <c r="CX71" s="199"/>
      <c r="CY71" s="199"/>
      <c r="CZ71" s="199"/>
      <c r="DA71" s="199"/>
      <c r="DB71" s="199"/>
      <c r="DC71" s="199"/>
      <c r="DD71" s="199"/>
      <c r="DE71" s="199"/>
      <c r="DF71" s="199"/>
      <c r="DG71" s="199"/>
      <c r="DH71" s="199"/>
      <c r="DI71" s="199"/>
      <c r="DJ71" s="199"/>
      <c r="DK71" s="199"/>
      <c r="DL71" s="199"/>
      <c r="DM71" s="199"/>
      <c r="DN71" s="199"/>
      <c r="DO71" s="199"/>
      <c r="DP71" s="199"/>
      <c r="DQ71" s="199"/>
      <c r="DR71" s="199"/>
      <c r="DS71" s="199"/>
      <c r="DT71" s="199"/>
      <c r="DU71" s="199"/>
      <c r="DV71" s="199"/>
      <c r="DW71" s="199"/>
      <c r="DX71" s="199"/>
      <c r="DY71" s="199"/>
      <c r="DZ71" s="199"/>
      <c r="EA71" s="199"/>
      <c r="EB71" s="199"/>
      <c r="EC71" s="199"/>
      <c r="ED71" s="199"/>
      <c r="EE71" s="199"/>
      <c r="EF71" s="199"/>
      <c r="EG71" s="199"/>
      <c r="EH71" s="199"/>
      <c r="EI71" s="199"/>
      <c r="EJ71" s="199"/>
      <c r="EK71" s="199"/>
      <c r="EL71" s="199"/>
      <c r="EM71" s="199"/>
      <c r="EN71" s="199"/>
      <c r="EO71" s="199"/>
      <c r="EP71" s="199"/>
      <c r="EQ71" s="199"/>
      <c r="ER71" s="199"/>
      <c r="ES71" s="199"/>
      <c r="ET71" s="199"/>
      <c r="EU71" s="199"/>
      <c r="EV71" s="199"/>
      <c r="EW71" s="199"/>
      <c r="EX71" s="199"/>
      <c r="EY71" s="199"/>
    </row>
    <row r="72" spans="1:155" s="213" customFormat="1" ht="25.15" customHeight="1">
      <c r="A72" s="206">
        <v>37</v>
      </c>
      <c r="B72" s="212" t="s">
        <v>39</v>
      </c>
      <c r="C72" s="183" t="s">
        <v>103</v>
      </c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  <c r="AD72" s="199"/>
      <c r="AE72" s="199"/>
      <c r="AF72" s="199"/>
      <c r="AG72" s="199"/>
      <c r="AH72" s="199"/>
      <c r="AI72" s="199"/>
      <c r="AJ72" s="199"/>
      <c r="AK72" s="199"/>
      <c r="AL72" s="199"/>
      <c r="AM72" s="199"/>
      <c r="AN72" s="199"/>
      <c r="AO72" s="199"/>
      <c r="AP72" s="199"/>
      <c r="AQ72" s="199"/>
      <c r="AR72" s="199"/>
      <c r="AS72" s="199"/>
      <c r="AT72" s="199"/>
      <c r="AU72" s="199"/>
      <c r="AV72" s="199"/>
      <c r="AW72" s="199"/>
      <c r="AX72" s="199"/>
      <c r="AY72" s="199"/>
      <c r="AZ72" s="199"/>
      <c r="BA72" s="199"/>
      <c r="BB72" s="199"/>
      <c r="BC72" s="199"/>
      <c r="BD72" s="199"/>
      <c r="BE72" s="199"/>
      <c r="BF72" s="199"/>
      <c r="BG72" s="199"/>
      <c r="BH72" s="199"/>
      <c r="BI72" s="199"/>
      <c r="BJ72" s="199"/>
      <c r="BK72" s="199"/>
      <c r="BL72" s="199"/>
      <c r="BM72" s="199"/>
      <c r="BN72" s="199"/>
      <c r="BO72" s="199"/>
      <c r="BP72" s="199"/>
      <c r="BQ72" s="199"/>
      <c r="BR72" s="199"/>
      <c r="BS72" s="199"/>
      <c r="BT72" s="199"/>
      <c r="BU72" s="199"/>
      <c r="BV72" s="199"/>
      <c r="BW72" s="199"/>
      <c r="BX72" s="199"/>
      <c r="BY72" s="199"/>
      <c r="BZ72" s="199"/>
      <c r="CA72" s="199"/>
      <c r="CB72" s="199"/>
      <c r="CC72" s="199"/>
      <c r="CD72" s="199"/>
      <c r="CE72" s="199"/>
      <c r="CF72" s="199"/>
      <c r="CG72" s="199"/>
      <c r="CH72" s="199"/>
      <c r="CI72" s="199"/>
      <c r="CJ72" s="199"/>
      <c r="CK72" s="199"/>
      <c r="CL72" s="199"/>
      <c r="CM72" s="199"/>
      <c r="CN72" s="199"/>
      <c r="CO72" s="199"/>
      <c r="CP72" s="199"/>
      <c r="CQ72" s="199"/>
      <c r="CR72" s="199"/>
      <c r="CS72" s="199"/>
      <c r="CT72" s="199"/>
      <c r="CU72" s="199"/>
      <c r="CV72" s="199"/>
      <c r="CW72" s="199"/>
      <c r="CX72" s="199"/>
      <c r="CY72" s="199"/>
      <c r="CZ72" s="199"/>
      <c r="DA72" s="199"/>
      <c r="DB72" s="199"/>
      <c r="DC72" s="199"/>
      <c r="DD72" s="199"/>
      <c r="DE72" s="199"/>
      <c r="DF72" s="199"/>
      <c r="DG72" s="199"/>
      <c r="DH72" s="199"/>
      <c r="DI72" s="199"/>
      <c r="DJ72" s="199"/>
      <c r="DK72" s="199"/>
      <c r="DL72" s="199"/>
      <c r="DM72" s="199"/>
      <c r="DN72" s="199"/>
      <c r="DO72" s="199"/>
      <c r="DP72" s="199"/>
      <c r="DQ72" s="199"/>
      <c r="DR72" s="199"/>
      <c r="DS72" s="199"/>
      <c r="DT72" s="199"/>
      <c r="DU72" s="199"/>
      <c r="DV72" s="199"/>
      <c r="DW72" s="199"/>
      <c r="DX72" s="199"/>
      <c r="DY72" s="199"/>
      <c r="DZ72" s="199"/>
      <c r="EA72" s="199"/>
      <c r="EB72" s="199"/>
      <c r="EC72" s="199"/>
      <c r="ED72" s="199"/>
      <c r="EE72" s="199"/>
      <c r="EF72" s="199"/>
      <c r="EG72" s="199"/>
      <c r="EH72" s="199"/>
      <c r="EI72" s="199"/>
      <c r="EJ72" s="199"/>
      <c r="EK72" s="199"/>
      <c r="EL72" s="199"/>
      <c r="EM72" s="199"/>
      <c r="EN72" s="199"/>
      <c r="EO72" s="199"/>
      <c r="EP72" s="199"/>
      <c r="EQ72" s="199"/>
      <c r="ER72" s="199"/>
      <c r="ES72" s="199"/>
      <c r="ET72" s="199"/>
      <c r="EU72" s="199"/>
      <c r="EV72" s="199"/>
      <c r="EW72" s="199"/>
      <c r="EX72" s="199"/>
      <c r="EY72" s="199"/>
    </row>
    <row r="73" spans="1:155" s="213" customFormat="1" ht="25.15" customHeight="1">
      <c r="A73" s="206">
        <v>38</v>
      </c>
      <c r="B73" s="212" t="s">
        <v>52</v>
      </c>
      <c r="C73" s="183" t="s">
        <v>84</v>
      </c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199"/>
      <c r="AG73" s="199"/>
      <c r="AH73" s="199"/>
      <c r="AI73" s="199"/>
      <c r="AJ73" s="199"/>
      <c r="AK73" s="199"/>
      <c r="AL73" s="199"/>
      <c r="AM73" s="199"/>
      <c r="AN73" s="199"/>
      <c r="AO73" s="199"/>
      <c r="AP73" s="199"/>
      <c r="AQ73" s="199"/>
      <c r="AR73" s="199"/>
      <c r="AS73" s="199"/>
      <c r="AT73" s="199"/>
      <c r="AU73" s="199"/>
      <c r="AV73" s="199"/>
      <c r="AW73" s="199"/>
      <c r="AX73" s="199"/>
      <c r="AY73" s="199"/>
      <c r="AZ73" s="199"/>
      <c r="BA73" s="199"/>
      <c r="BB73" s="199"/>
      <c r="BC73" s="199"/>
      <c r="BD73" s="199"/>
      <c r="BE73" s="199"/>
      <c r="BF73" s="199"/>
      <c r="BG73" s="199"/>
      <c r="BH73" s="199"/>
      <c r="BI73" s="199"/>
      <c r="BJ73" s="199"/>
      <c r="BK73" s="199"/>
      <c r="BL73" s="199"/>
      <c r="BM73" s="199"/>
      <c r="BN73" s="199"/>
      <c r="BO73" s="199"/>
      <c r="BP73" s="199"/>
      <c r="BQ73" s="199"/>
      <c r="BR73" s="199"/>
      <c r="BS73" s="199"/>
      <c r="BT73" s="199"/>
      <c r="BU73" s="199"/>
      <c r="BV73" s="199"/>
      <c r="BW73" s="199"/>
      <c r="BX73" s="199"/>
      <c r="BY73" s="199"/>
      <c r="BZ73" s="199"/>
      <c r="CA73" s="199"/>
      <c r="CB73" s="199"/>
      <c r="CC73" s="199"/>
      <c r="CD73" s="199"/>
      <c r="CE73" s="199"/>
      <c r="CF73" s="199"/>
      <c r="CG73" s="199"/>
      <c r="CH73" s="199"/>
      <c r="CI73" s="199"/>
      <c r="CJ73" s="199"/>
      <c r="CK73" s="199"/>
      <c r="CL73" s="199"/>
      <c r="CM73" s="199"/>
      <c r="CN73" s="199"/>
      <c r="CO73" s="199"/>
      <c r="CP73" s="199"/>
      <c r="CQ73" s="199"/>
      <c r="CR73" s="199"/>
      <c r="CS73" s="199"/>
      <c r="CT73" s="199"/>
      <c r="CU73" s="199"/>
      <c r="CV73" s="199"/>
      <c r="CW73" s="199"/>
      <c r="CX73" s="199"/>
      <c r="CY73" s="199"/>
      <c r="CZ73" s="199"/>
      <c r="DA73" s="199"/>
      <c r="DB73" s="199"/>
      <c r="DC73" s="199"/>
      <c r="DD73" s="199"/>
      <c r="DE73" s="199"/>
      <c r="DF73" s="199"/>
      <c r="DG73" s="199"/>
      <c r="DH73" s="199"/>
      <c r="DI73" s="199"/>
      <c r="DJ73" s="199"/>
      <c r="DK73" s="199"/>
      <c r="DL73" s="199"/>
      <c r="DM73" s="199"/>
      <c r="DN73" s="199"/>
      <c r="DO73" s="199"/>
      <c r="DP73" s="199"/>
      <c r="DQ73" s="199"/>
      <c r="DR73" s="199"/>
      <c r="DS73" s="199"/>
      <c r="DT73" s="199"/>
      <c r="DU73" s="199"/>
      <c r="DV73" s="199"/>
      <c r="DW73" s="199"/>
      <c r="DX73" s="199"/>
      <c r="DY73" s="199"/>
      <c r="DZ73" s="199"/>
      <c r="EA73" s="199"/>
      <c r="EB73" s="199"/>
      <c r="EC73" s="199"/>
      <c r="ED73" s="199"/>
      <c r="EE73" s="199"/>
      <c r="EF73" s="199"/>
      <c r="EG73" s="199"/>
      <c r="EH73" s="199"/>
      <c r="EI73" s="199"/>
      <c r="EJ73" s="199"/>
      <c r="EK73" s="199"/>
      <c r="EL73" s="199"/>
      <c r="EM73" s="199"/>
      <c r="EN73" s="199"/>
      <c r="EO73" s="199"/>
      <c r="EP73" s="199"/>
      <c r="EQ73" s="199"/>
      <c r="ER73" s="199"/>
      <c r="ES73" s="199"/>
      <c r="ET73" s="199"/>
      <c r="EU73" s="199"/>
      <c r="EV73" s="199"/>
      <c r="EW73" s="199"/>
      <c r="EX73" s="199"/>
      <c r="EY73" s="199"/>
    </row>
    <row r="74" spans="1:155" s="213" customFormat="1" ht="25.15" customHeight="1">
      <c r="A74" s="206">
        <v>39</v>
      </c>
      <c r="B74" s="212" t="s">
        <v>112</v>
      </c>
      <c r="C74" s="183" t="s">
        <v>116</v>
      </c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199"/>
      <c r="AG74" s="199"/>
      <c r="AH74" s="199"/>
      <c r="AI74" s="199"/>
      <c r="AJ74" s="199"/>
      <c r="AK74" s="199"/>
      <c r="AL74" s="199"/>
      <c r="AM74" s="199"/>
      <c r="AN74" s="199"/>
      <c r="AO74" s="199"/>
      <c r="AP74" s="199"/>
      <c r="AQ74" s="199"/>
      <c r="AR74" s="199"/>
      <c r="AS74" s="199"/>
      <c r="AT74" s="199"/>
      <c r="AU74" s="199"/>
      <c r="AV74" s="199"/>
      <c r="AW74" s="199"/>
      <c r="AX74" s="199"/>
      <c r="AY74" s="199"/>
      <c r="AZ74" s="199"/>
      <c r="BA74" s="199"/>
      <c r="BB74" s="199"/>
      <c r="BC74" s="199"/>
      <c r="BD74" s="199"/>
      <c r="BE74" s="199"/>
      <c r="BF74" s="199"/>
      <c r="BG74" s="199"/>
      <c r="BH74" s="199"/>
      <c r="BI74" s="199"/>
      <c r="BJ74" s="199"/>
      <c r="BK74" s="199"/>
      <c r="BL74" s="199"/>
      <c r="BM74" s="199"/>
      <c r="BN74" s="199"/>
      <c r="BO74" s="199"/>
      <c r="BP74" s="199"/>
      <c r="BQ74" s="199"/>
      <c r="BR74" s="199"/>
      <c r="BS74" s="199"/>
      <c r="BT74" s="199"/>
      <c r="BU74" s="199"/>
      <c r="BV74" s="199"/>
      <c r="BW74" s="199"/>
      <c r="BX74" s="199"/>
      <c r="BY74" s="199"/>
      <c r="BZ74" s="199"/>
      <c r="CA74" s="199"/>
      <c r="CB74" s="199"/>
      <c r="CC74" s="199"/>
      <c r="CD74" s="199"/>
      <c r="CE74" s="199"/>
      <c r="CF74" s="199"/>
      <c r="CG74" s="199"/>
      <c r="CH74" s="199"/>
      <c r="CI74" s="199"/>
      <c r="CJ74" s="199"/>
      <c r="CK74" s="199"/>
      <c r="CL74" s="199"/>
      <c r="CM74" s="199"/>
      <c r="CN74" s="199"/>
      <c r="CO74" s="199"/>
      <c r="CP74" s="199"/>
      <c r="CQ74" s="199"/>
      <c r="CR74" s="199"/>
      <c r="CS74" s="199"/>
      <c r="CT74" s="199"/>
      <c r="CU74" s="199"/>
      <c r="CV74" s="199"/>
      <c r="CW74" s="199"/>
      <c r="CX74" s="199"/>
      <c r="CY74" s="199"/>
      <c r="CZ74" s="199"/>
      <c r="DA74" s="199"/>
      <c r="DB74" s="199"/>
      <c r="DC74" s="199"/>
      <c r="DD74" s="199"/>
      <c r="DE74" s="199"/>
      <c r="DF74" s="199"/>
      <c r="DG74" s="199"/>
      <c r="DH74" s="199"/>
      <c r="DI74" s="199"/>
      <c r="DJ74" s="199"/>
      <c r="DK74" s="199"/>
      <c r="DL74" s="199"/>
      <c r="DM74" s="199"/>
      <c r="DN74" s="199"/>
      <c r="DO74" s="199"/>
      <c r="DP74" s="199"/>
      <c r="DQ74" s="199"/>
      <c r="DR74" s="199"/>
      <c r="DS74" s="199"/>
      <c r="DT74" s="199"/>
      <c r="DU74" s="199"/>
      <c r="DV74" s="199"/>
      <c r="DW74" s="199"/>
      <c r="DX74" s="199"/>
      <c r="DY74" s="199"/>
      <c r="DZ74" s="199"/>
      <c r="EA74" s="199"/>
      <c r="EB74" s="199"/>
      <c r="EC74" s="199"/>
      <c r="ED74" s="199"/>
      <c r="EE74" s="199"/>
      <c r="EF74" s="199"/>
      <c r="EG74" s="199"/>
      <c r="EH74" s="199"/>
      <c r="EI74" s="199"/>
      <c r="EJ74" s="199"/>
      <c r="EK74" s="199"/>
      <c r="EL74" s="199"/>
      <c r="EM74" s="199"/>
      <c r="EN74" s="199"/>
      <c r="EO74" s="199"/>
      <c r="EP74" s="199"/>
      <c r="EQ74" s="199"/>
      <c r="ER74" s="199"/>
      <c r="ES74" s="199"/>
      <c r="ET74" s="199"/>
      <c r="EU74" s="199"/>
      <c r="EV74" s="199"/>
      <c r="EW74" s="199"/>
      <c r="EX74" s="199"/>
      <c r="EY74" s="199"/>
    </row>
    <row r="75" spans="1:155" s="213" customFormat="1" ht="25.15" customHeight="1">
      <c r="A75" s="550" t="s">
        <v>1953</v>
      </c>
      <c r="B75" s="551"/>
      <c r="C75" s="551"/>
      <c r="D75" s="552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199"/>
      <c r="AG75" s="199"/>
      <c r="AH75" s="199"/>
      <c r="AI75" s="199"/>
      <c r="AJ75" s="199"/>
      <c r="AK75" s="199"/>
      <c r="AL75" s="199"/>
      <c r="AM75" s="199"/>
      <c r="AN75" s="199"/>
      <c r="AO75" s="199"/>
      <c r="AP75" s="199"/>
      <c r="AQ75" s="199"/>
      <c r="AR75" s="199"/>
      <c r="AS75" s="199"/>
      <c r="AT75" s="199"/>
      <c r="AU75" s="199"/>
      <c r="AV75" s="199"/>
      <c r="AW75" s="199"/>
      <c r="AX75" s="199"/>
      <c r="AY75" s="199"/>
      <c r="AZ75" s="199"/>
      <c r="BA75" s="199"/>
      <c r="BB75" s="199"/>
      <c r="BC75" s="199"/>
      <c r="BD75" s="199"/>
      <c r="BE75" s="199"/>
      <c r="BF75" s="199"/>
      <c r="BG75" s="199"/>
      <c r="BH75" s="199"/>
      <c r="BI75" s="199"/>
      <c r="BJ75" s="199"/>
      <c r="BK75" s="199"/>
      <c r="BL75" s="199"/>
      <c r="BM75" s="199"/>
      <c r="BN75" s="199"/>
      <c r="BO75" s="199"/>
      <c r="BP75" s="199"/>
      <c r="BQ75" s="199"/>
      <c r="BR75" s="199"/>
      <c r="BS75" s="199"/>
      <c r="BT75" s="199"/>
      <c r="BU75" s="199"/>
      <c r="BV75" s="199"/>
      <c r="BW75" s="199"/>
      <c r="BX75" s="199"/>
      <c r="BY75" s="199"/>
      <c r="BZ75" s="199"/>
      <c r="CA75" s="199"/>
      <c r="CB75" s="199"/>
      <c r="CC75" s="199"/>
      <c r="CD75" s="199"/>
      <c r="CE75" s="199"/>
      <c r="CF75" s="199"/>
      <c r="CG75" s="199"/>
      <c r="CH75" s="199"/>
      <c r="CI75" s="199"/>
      <c r="CJ75" s="199"/>
      <c r="CK75" s="199"/>
      <c r="CL75" s="199"/>
      <c r="CM75" s="199"/>
      <c r="CN75" s="199"/>
      <c r="CO75" s="199"/>
      <c r="CP75" s="199"/>
      <c r="CQ75" s="199"/>
      <c r="CR75" s="199"/>
      <c r="CS75" s="199"/>
      <c r="CT75" s="199"/>
      <c r="CU75" s="199"/>
      <c r="CV75" s="199"/>
      <c r="CW75" s="199"/>
      <c r="CX75" s="199"/>
      <c r="CY75" s="199"/>
      <c r="CZ75" s="199"/>
      <c r="DA75" s="199"/>
      <c r="DB75" s="199"/>
      <c r="DC75" s="199"/>
      <c r="DD75" s="199"/>
      <c r="DE75" s="199"/>
      <c r="DF75" s="199"/>
      <c r="DG75" s="199"/>
      <c r="DH75" s="199"/>
      <c r="DI75" s="199"/>
      <c r="DJ75" s="199"/>
      <c r="DK75" s="199"/>
      <c r="DL75" s="199"/>
      <c r="DM75" s="199"/>
      <c r="DN75" s="199"/>
      <c r="DO75" s="199"/>
      <c r="DP75" s="199"/>
      <c r="DQ75" s="199"/>
      <c r="DR75" s="199"/>
      <c r="DS75" s="199"/>
      <c r="DT75" s="199"/>
      <c r="DU75" s="199"/>
      <c r="DV75" s="199"/>
      <c r="DW75" s="199"/>
      <c r="DX75" s="199"/>
      <c r="DY75" s="199"/>
      <c r="DZ75" s="199"/>
      <c r="EA75" s="199"/>
      <c r="EB75" s="199"/>
      <c r="EC75" s="199"/>
      <c r="ED75" s="199"/>
      <c r="EE75" s="199"/>
      <c r="EF75" s="199"/>
      <c r="EG75" s="199"/>
      <c r="EH75" s="199"/>
      <c r="EI75" s="199"/>
      <c r="EJ75" s="199"/>
      <c r="EK75" s="199"/>
      <c r="EL75" s="199"/>
      <c r="EM75" s="199"/>
      <c r="EN75" s="199"/>
      <c r="EO75" s="199"/>
      <c r="EP75" s="199"/>
      <c r="EQ75" s="199"/>
      <c r="ER75" s="199"/>
      <c r="ES75" s="199"/>
      <c r="ET75" s="199"/>
      <c r="EU75" s="199"/>
      <c r="EV75" s="199"/>
      <c r="EW75" s="199"/>
      <c r="EX75" s="199"/>
      <c r="EY75" s="199"/>
    </row>
    <row r="76" spans="1:155" s="213" customFormat="1" ht="25.15" customHeight="1">
      <c r="A76" s="219"/>
      <c r="B76" s="220"/>
      <c r="C76" s="220"/>
      <c r="D76" s="199"/>
      <c r="E76" s="199"/>
      <c r="F76" s="199"/>
      <c r="G76" s="199"/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  <c r="AB76" s="199"/>
      <c r="AC76" s="199"/>
      <c r="AD76" s="199"/>
      <c r="AE76" s="199"/>
      <c r="AF76" s="199"/>
      <c r="AG76" s="199"/>
      <c r="AH76" s="199"/>
      <c r="AI76" s="199"/>
      <c r="AJ76" s="199"/>
      <c r="AK76" s="199"/>
      <c r="AL76" s="199"/>
      <c r="AM76" s="199"/>
      <c r="AN76" s="199"/>
      <c r="AO76" s="199"/>
      <c r="AP76" s="199"/>
      <c r="AQ76" s="199"/>
      <c r="AR76" s="199"/>
      <c r="AS76" s="199"/>
      <c r="AT76" s="199"/>
      <c r="AU76" s="199"/>
      <c r="AV76" s="199"/>
      <c r="AW76" s="199"/>
      <c r="AX76" s="199"/>
      <c r="AY76" s="199"/>
      <c r="AZ76" s="199"/>
      <c r="BA76" s="199"/>
      <c r="BB76" s="199"/>
      <c r="BC76" s="199"/>
      <c r="BD76" s="199"/>
      <c r="BE76" s="199"/>
      <c r="BF76" s="199"/>
      <c r="BG76" s="199"/>
      <c r="BH76" s="199"/>
      <c r="BI76" s="199"/>
      <c r="BJ76" s="199"/>
      <c r="BK76" s="199"/>
      <c r="BL76" s="199"/>
      <c r="BM76" s="199"/>
      <c r="BN76" s="199"/>
      <c r="BO76" s="199"/>
      <c r="BP76" s="199"/>
      <c r="BQ76" s="199"/>
      <c r="BR76" s="199"/>
      <c r="BS76" s="199"/>
      <c r="BT76" s="199"/>
      <c r="BU76" s="199"/>
      <c r="BV76" s="199"/>
      <c r="BW76" s="199"/>
      <c r="BX76" s="199"/>
      <c r="BY76" s="199"/>
      <c r="BZ76" s="199"/>
      <c r="CA76" s="199"/>
      <c r="CB76" s="199"/>
      <c r="CC76" s="199"/>
      <c r="CD76" s="199"/>
      <c r="CE76" s="199"/>
      <c r="CF76" s="199"/>
      <c r="CG76" s="199"/>
      <c r="CH76" s="199"/>
      <c r="CI76" s="199"/>
      <c r="CJ76" s="199"/>
      <c r="CK76" s="199"/>
      <c r="CL76" s="199"/>
      <c r="CM76" s="199"/>
      <c r="CN76" s="199"/>
      <c r="CO76" s="199"/>
      <c r="CP76" s="199"/>
      <c r="CQ76" s="199"/>
      <c r="CR76" s="199"/>
      <c r="CS76" s="199"/>
      <c r="CT76" s="199"/>
      <c r="CU76" s="199"/>
      <c r="CV76" s="199"/>
      <c r="CW76" s="199"/>
      <c r="CX76" s="199"/>
      <c r="CY76" s="199"/>
      <c r="CZ76" s="199"/>
      <c r="DA76" s="199"/>
      <c r="DB76" s="199"/>
      <c r="DC76" s="199"/>
      <c r="DD76" s="199"/>
      <c r="DE76" s="199"/>
      <c r="DF76" s="199"/>
      <c r="DG76" s="199"/>
      <c r="DH76" s="199"/>
      <c r="DI76" s="199"/>
      <c r="DJ76" s="199"/>
      <c r="DK76" s="199"/>
      <c r="DL76" s="199"/>
      <c r="DM76" s="199"/>
      <c r="DN76" s="199"/>
      <c r="DO76" s="199"/>
      <c r="DP76" s="199"/>
      <c r="DQ76" s="199"/>
      <c r="DR76" s="199"/>
      <c r="DS76" s="199"/>
      <c r="DT76" s="199"/>
      <c r="DU76" s="199"/>
      <c r="DV76" s="199"/>
      <c r="DW76" s="199"/>
      <c r="DX76" s="199"/>
      <c r="DY76" s="199"/>
      <c r="DZ76" s="199"/>
      <c r="EA76" s="199"/>
      <c r="EB76" s="199"/>
      <c r="EC76" s="199"/>
      <c r="ED76" s="199"/>
      <c r="EE76" s="199"/>
      <c r="EF76" s="199"/>
      <c r="EG76" s="199"/>
      <c r="EH76" s="199"/>
      <c r="EI76" s="199"/>
      <c r="EJ76" s="199"/>
      <c r="EK76" s="199"/>
      <c r="EL76" s="199"/>
      <c r="EM76" s="199"/>
      <c r="EN76" s="199"/>
      <c r="EO76" s="199"/>
      <c r="EP76" s="199"/>
      <c r="EQ76" s="199"/>
      <c r="ER76" s="199"/>
      <c r="ES76" s="199"/>
      <c r="ET76" s="199"/>
      <c r="EU76" s="199"/>
      <c r="EV76" s="199"/>
      <c r="EW76" s="199"/>
      <c r="EX76" s="199"/>
      <c r="EY76" s="199"/>
    </row>
    <row r="77" spans="1:155" ht="25.15" customHeight="1"/>
    <row r="78" spans="1:155" ht="25.15" customHeight="1"/>
    <row r="79" spans="1:155" ht="25.15" customHeight="1"/>
    <row r="80" spans="1:155" ht="25.15" customHeight="1"/>
  </sheetData>
  <mergeCells count="6">
    <mergeCell ref="A1:B1"/>
    <mergeCell ref="A75:D75"/>
    <mergeCell ref="A35:D35"/>
    <mergeCell ref="A32:D32"/>
    <mergeCell ref="A28:D28"/>
    <mergeCell ref="A22:D22"/>
  </mergeCells>
  <printOptions horizontalCentered="1"/>
  <pageMargins left="0" right="0" top="0.23622047244094499" bottom="0.23622047244094499" header="0.511811023622047" footer="0.511811023622047"/>
  <pageSetup paperSize="9" scale="90" orientation="portrait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3F601-0BF8-441E-8D09-969BBA3CD661}">
  <sheetPr>
    <tabColor rgb="FFFFFF00"/>
  </sheetPr>
  <dimension ref="A1:M405"/>
  <sheetViews>
    <sheetView tabSelected="1" topLeftCell="A369" workbookViewId="0">
      <selection activeCell="E374" sqref="E374"/>
    </sheetView>
  </sheetViews>
  <sheetFormatPr defaultColWidth="17.85546875" defaultRowHeight="45.75" customHeight="1"/>
  <cols>
    <col min="4" max="4" width="32.42578125" customWidth="1"/>
    <col min="6" max="6" width="72.7109375" style="523" customWidth="1"/>
    <col min="8" max="8" width="38.85546875" customWidth="1"/>
    <col min="9" max="9" width="24.28515625" customWidth="1"/>
    <col min="12" max="12" width="21.85546875" bestFit="1" customWidth="1"/>
  </cols>
  <sheetData>
    <row r="1" spans="1:9" ht="24.75" customHeight="1">
      <c r="A1" s="512" t="s">
        <v>2343</v>
      </c>
      <c r="B1" s="513" t="s">
        <v>2344</v>
      </c>
      <c r="C1" s="513" t="s">
        <v>2345</v>
      </c>
      <c r="D1" s="514" t="s">
        <v>2346</v>
      </c>
      <c r="E1" s="514" t="s">
        <v>2347</v>
      </c>
      <c r="F1" s="518" t="s">
        <v>2348</v>
      </c>
      <c r="G1" s="515" t="s">
        <v>2349</v>
      </c>
      <c r="H1" s="514" t="s">
        <v>2350</v>
      </c>
      <c r="I1" s="514" t="s">
        <v>2351</v>
      </c>
    </row>
    <row r="2" spans="1:9" ht="45.75" customHeight="1">
      <c r="A2" s="195" t="s">
        <v>332</v>
      </c>
      <c r="B2" s="195">
        <v>41360</v>
      </c>
      <c r="C2" s="191" t="s">
        <v>333</v>
      </c>
      <c r="D2" s="184" t="s">
        <v>112</v>
      </c>
      <c r="E2" s="204">
        <v>102226</v>
      </c>
      <c r="F2" s="519" t="s">
        <v>334</v>
      </c>
      <c r="G2" s="207">
        <v>20000</v>
      </c>
      <c r="H2" s="192" t="s">
        <v>16</v>
      </c>
      <c r="I2" s="191"/>
    </row>
    <row r="3" spans="1:9" ht="45.75" customHeight="1">
      <c r="A3" s="195" t="s">
        <v>332</v>
      </c>
      <c r="B3" s="195">
        <v>41360</v>
      </c>
      <c r="C3" s="183" t="s">
        <v>333</v>
      </c>
      <c r="D3" s="184" t="s">
        <v>112</v>
      </c>
      <c r="E3" s="196" t="s">
        <v>127</v>
      </c>
      <c r="F3" s="519" t="s">
        <v>334</v>
      </c>
      <c r="G3" s="207">
        <v>20000</v>
      </c>
      <c r="H3" s="192" t="s">
        <v>16</v>
      </c>
      <c r="I3" s="191"/>
    </row>
    <row r="4" spans="1:9" ht="45.75" customHeight="1">
      <c r="A4" s="195" t="s">
        <v>332</v>
      </c>
      <c r="B4" s="195">
        <v>41360</v>
      </c>
      <c r="C4" s="191" t="s">
        <v>333</v>
      </c>
      <c r="D4" s="184" t="s">
        <v>112</v>
      </c>
      <c r="E4" s="204">
        <v>102230</v>
      </c>
      <c r="F4" s="519" t="s">
        <v>334</v>
      </c>
      <c r="G4" s="207">
        <v>20000</v>
      </c>
      <c r="H4" s="192" t="s">
        <v>16</v>
      </c>
      <c r="I4" s="191"/>
    </row>
    <row r="5" spans="1:9" ht="45.75" customHeight="1">
      <c r="A5" s="183" t="s">
        <v>316</v>
      </c>
      <c r="B5" s="195">
        <v>40634</v>
      </c>
      <c r="C5" s="191" t="s">
        <v>317</v>
      </c>
      <c r="D5" s="184" t="s">
        <v>39</v>
      </c>
      <c r="E5" s="196" t="s">
        <v>40</v>
      </c>
      <c r="F5" s="519" t="s">
        <v>547</v>
      </c>
      <c r="G5" s="198">
        <v>24675</v>
      </c>
      <c r="H5" s="192" t="s">
        <v>16</v>
      </c>
      <c r="I5" s="191" t="s">
        <v>2102</v>
      </c>
    </row>
    <row r="6" spans="1:9" ht="45.75" customHeight="1">
      <c r="A6" s="183" t="s">
        <v>328</v>
      </c>
      <c r="B6" s="195">
        <v>40836</v>
      </c>
      <c r="C6" s="191" t="s">
        <v>329</v>
      </c>
      <c r="D6" s="184" t="s">
        <v>39</v>
      </c>
      <c r="E6" s="196" t="s">
        <v>50</v>
      </c>
      <c r="F6" s="519" t="s">
        <v>547</v>
      </c>
      <c r="G6" s="198">
        <v>26250</v>
      </c>
      <c r="H6" s="192" t="s">
        <v>16</v>
      </c>
      <c r="I6" s="191"/>
    </row>
    <row r="7" spans="1:9" ht="45.75" customHeight="1">
      <c r="A7" s="183" t="s">
        <v>330</v>
      </c>
      <c r="B7" s="195">
        <v>40939</v>
      </c>
      <c r="C7" s="191" t="s">
        <v>331</v>
      </c>
      <c r="D7" s="184" t="s">
        <v>39</v>
      </c>
      <c r="E7" s="196" t="s">
        <v>63</v>
      </c>
      <c r="F7" s="519" t="s">
        <v>547</v>
      </c>
      <c r="G7" s="198">
        <v>26250</v>
      </c>
      <c r="H7" s="192" t="s">
        <v>16</v>
      </c>
      <c r="I7" s="191"/>
    </row>
    <row r="8" spans="1:9" ht="45.75" customHeight="1">
      <c r="A8" s="183" t="s">
        <v>290</v>
      </c>
      <c r="B8" s="195">
        <v>41093</v>
      </c>
      <c r="C8" s="191" t="s">
        <v>291</v>
      </c>
      <c r="D8" s="184" t="s">
        <v>39</v>
      </c>
      <c r="E8" s="196" t="s">
        <v>86</v>
      </c>
      <c r="F8" s="519" t="s">
        <v>547</v>
      </c>
      <c r="G8" s="198">
        <v>26250</v>
      </c>
      <c r="H8" s="192" t="s">
        <v>16</v>
      </c>
      <c r="I8" s="191"/>
    </row>
    <row r="9" spans="1:9" ht="45.75" customHeight="1">
      <c r="A9" s="183" t="s">
        <v>326</v>
      </c>
      <c r="B9" s="195">
        <v>41176</v>
      </c>
      <c r="C9" s="191" t="s">
        <v>327</v>
      </c>
      <c r="D9" s="184" t="s">
        <v>39</v>
      </c>
      <c r="E9" s="204">
        <v>102056</v>
      </c>
      <c r="F9" s="519" t="s">
        <v>547</v>
      </c>
      <c r="G9" s="198">
        <v>26250</v>
      </c>
      <c r="H9" s="192" t="s">
        <v>16</v>
      </c>
      <c r="I9" s="191"/>
    </row>
    <row r="10" spans="1:9" ht="45.75" customHeight="1">
      <c r="A10" s="211" t="s">
        <v>326</v>
      </c>
      <c r="B10" s="195">
        <v>41176</v>
      </c>
      <c r="C10" s="191" t="s">
        <v>327</v>
      </c>
      <c r="D10" s="184" t="s">
        <v>39</v>
      </c>
      <c r="E10" s="196" t="s">
        <v>102</v>
      </c>
      <c r="F10" s="519" t="s">
        <v>547</v>
      </c>
      <c r="G10" s="198">
        <v>26250</v>
      </c>
      <c r="H10" s="192" t="s">
        <v>16</v>
      </c>
      <c r="I10" s="191"/>
    </row>
    <row r="11" spans="1:9" ht="45.75" customHeight="1">
      <c r="A11" s="183" t="s">
        <v>307</v>
      </c>
      <c r="B11" s="195">
        <v>41277</v>
      </c>
      <c r="C11" s="183" t="s">
        <v>308</v>
      </c>
      <c r="D11" s="184" t="s">
        <v>39</v>
      </c>
      <c r="E11" s="196" t="s">
        <v>104</v>
      </c>
      <c r="F11" s="519" t="s">
        <v>547</v>
      </c>
      <c r="G11" s="198">
        <v>26250</v>
      </c>
      <c r="H11" s="192" t="s">
        <v>16</v>
      </c>
      <c r="I11" s="191"/>
    </row>
    <row r="12" spans="1:9" ht="45.75" customHeight="1">
      <c r="A12" s="211" t="s">
        <v>280</v>
      </c>
      <c r="B12" s="195">
        <v>39437</v>
      </c>
      <c r="C12" s="183" t="s">
        <v>281</v>
      </c>
      <c r="D12" s="184" t="s">
        <v>41</v>
      </c>
      <c r="E12" s="204">
        <v>101103</v>
      </c>
      <c r="F12" s="519" t="s">
        <v>541</v>
      </c>
      <c r="G12" s="198">
        <v>21500</v>
      </c>
      <c r="H12" s="192" t="s">
        <v>16</v>
      </c>
      <c r="I12" s="191"/>
    </row>
    <row r="13" spans="1:9" ht="45.75" customHeight="1">
      <c r="A13" s="183" t="s">
        <v>280</v>
      </c>
      <c r="B13" s="195">
        <v>39437</v>
      </c>
      <c r="C13" s="191" t="s">
        <v>281</v>
      </c>
      <c r="D13" s="184" t="s">
        <v>41</v>
      </c>
      <c r="E13" s="196" t="s">
        <v>49</v>
      </c>
      <c r="F13" s="519" t="s">
        <v>548</v>
      </c>
      <c r="G13" s="198">
        <v>21500</v>
      </c>
      <c r="H13" s="192" t="s">
        <v>16</v>
      </c>
      <c r="I13" s="191"/>
    </row>
    <row r="14" spans="1:9" ht="45.75" customHeight="1">
      <c r="A14" s="211" t="s">
        <v>276</v>
      </c>
      <c r="B14" s="195">
        <v>39580</v>
      </c>
      <c r="C14" s="191" t="s">
        <v>338</v>
      </c>
      <c r="D14" s="184" t="s">
        <v>41</v>
      </c>
      <c r="E14" s="204" t="s">
        <v>68</v>
      </c>
      <c r="F14" s="519" t="s">
        <v>546</v>
      </c>
      <c r="G14" s="198">
        <v>21500</v>
      </c>
      <c r="H14" s="192" t="s">
        <v>16</v>
      </c>
      <c r="I14" s="191"/>
    </row>
    <row r="15" spans="1:9" ht="45.75" customHeight="1">
      <c r="A15" s="183" t="s">
        <v>273</v>
      </c>
      <c r="B15" s="195">
        <v>39570</v>
      </c>
      <c r="C15" s="183" t="s">
        <v>274</v>
      </c>
      <c r="D15" s="184" t="s">
        <v>41</v>
      </c>
      <c r="E15" s="196" t="s">
        <v>69</v>
      </c>
      <c r="F15" s="519" t="s">
        <v>545</v>
      </c>
      <c r="G15" s="198">
        <v>21500</v>
      </c>
      <c r="H15" s="192" t="s">
        <v>16</v>
      </c>
      <c r="I15" s="191" t="s">
        <v>2103</v>
      </c>
    </row>
    <row r="16" spans="1:9" ht="45.75" customHeight="1">
      <c r="A16" s="183" t="s">
        <v>276</v>
      </c>
      <c r="B16" s="195">
        <v>39580</v>
      </c>
      <c r="C16" s="191" t="s">
        <v>277</v>
      </c>
      <c r="D16" s="184" t="s">
        <v>41</v>
      </c>
      <c r="E16" s="196" t="s">
        <v>73</v>
      </c>
      <c r="F16" s="519" t="s">
        <v>546</v>
      </c>
      <c r="G16" s="198">
        <v>21500</v>
      </c>
      <c r="H16" s="192" t="s">
        <v>16</v>
      </c>
      <c r="I16" s="191"/>
    </row>
    <row r="17" spans="1:9" ht="45.75" customHeight="1">
      <c r="A17" s="183" t="s">
        <v>273</v>
      </c>
      <c r="B17" s="195">
        <v>39570</v>
      </c>
      <c r="C17" s="191" t="s">
        <v>274</v>
      </c>
      <c r="D17" s="184" t="s">
        <v>41</v>
      </c>
      <c r="E17" s="204">
        <v>101571</v>
      </c>
      <c r="F17" s="519" t="s">
        <v>546</v>
      </c>
      <c r="G17" s="198">
        <v>21500</v>
      </c>
      <c r="H17" s="192" t="s">
        <v>16</v>
      </c>
      <c r="I17" s="191"/>
    </row>
    <row r="18" spans="1:9" ht="45.75" customHeight="1">
      <c r="A18" s="247" t="s">
        <v>344</v>
      </c>
      <c r="B18" s="400">
        <v>39958</v>
      </c>
      <c r="C18" s="412" t="s">
        <v>345</v>
      </c>
      <c r="D18" s="401" t="s">
        <v>41</v>
      </c>
      <c r="E18" s="402" t="s">
        <v>80</v>
      </c>
      <c r="F18" s="520" t="s">
        <v>548</v>
      </c>
      <c r="G18" s="463">
        <v>11825</v>
      </c>
      <c r="H18" s="192" t="s">
        <v>16</v>
      </c>
      <c r="I18" s="464"/>
    </row>
    <row r="19" spans="1:9" ht="45.75" customHeight="1">
      <c r="A19" s="183" t="s">
        <v>285</v>
      </c>
      <c r="B19" s="195">
        <v>39615</v>
      </c>
      <c r="C19" s="191" t="s">
        <v>286</v>
      </c>
      <c r="D19" s="184" t="s">
        <v>52</v>
      </c>
      <c r="E19" s="196" t="s">
        <v>84</v>
      </c>
      <c r="F19" s="519" t="s">
        <v>541</v>
      </c>
      <c r="G19" s="198">
        <v>21500</v>
      </c>
      <c r="H19" s="192" t="s">
        <v>16</v>
      </c>
      <c r="I19" s="191"/>
    </row>
    <row r="20" spans="1:9" ht="45.75" customHeight="1">
      <c r="A20" s="183" t="s">
        <v>285</v>
      </c>
      <c r="B20" s="195">
        <v>39615</v>
      </c>
      <c r="C20" s="191" t="s">
        <v>286</v>
      </c>
      <c r="D20" s="184" t="s">
        <v>52</v>
      </c>
      <c r="E20" s="196" t="s">
        <v>87</v>
      </c>
      <c r="F20" s="519" t="s">
        <v>541</v>
      </c>
      <c r="G20" s="198">
        <v>21500</v>
      </c>
      <c r="H20" s="192" t="s">
        <v>16</v>
      </c>
      <c r="I20" s="191"/>
    </row>
    <row r="21" spans="1:9" ht="45.75" customHeight="1">
      <c r="A21" s="183" t="s">
        <v>285</v>
      </c>
      <c r="B21" s="195">
        <v>39615</v>
      </c>
      <c r="C21" s="202" t="s">
        <v>286</v>
      </c>
      <c r="D21" s="184" t="s">
        <v>52</v>
      </c>
      <c r="E21" s="196" t="s">
        <v>88</v>
      </c>
      <c r="F21" s="519" t="s">
        <v>541</v>
      </c>
      <c r="G21" s="198">
        <v>21500</v>
      </c>
      <c r="H21" s="192" t="s">
        <v>16</v>
      </c>
      <c r="I21" s="191"/>
    </row>
    <row r="22" spans="1:9" ht="45.75" customHeight="1">
      <c r="A22" s="183" t="s">
        <v>301</v>
      </c>
      <c r="B22" s="195">
        <v>39687</v>
      </c>
      <c r="C22" s="191" t="s">
        <v>302</v>
      </c>
      <c r="D22" s="184" t="s">
        <v>52</v>
      </c>
      <c r="E22" s="196" t="s">
        <v>92</v>
      </c>
      <c r="F22" s="519" t="s">
        <v>541</v>
      </c>
      <c r="G22" s="198">
        <v>21500</v>
      </c>
      <c r="H22" s="192" t="s">
        <v>16</v>
      </c>
      <c r="I22" s="191"/>
    </row>
    <row r="23" spans="1:9" ht="45.75" customHeight="1">
      <c r="A23" s="211" t="s">
        <v>301</v>
      </c>
      <c r="B23" s="195">
        <v>39687</v>
      </c>
      <c r="C23" s="183" t="s">
        <v>302</v>
      </c>
      <c r="D23" s="184" t="s">
        <v>52</v>
      </c>
      <c r="E23" s="204">
        <v>101923</v>
      </c>
      <c r="F23" s="519" t="s">
        <v>541</v>
      </c>
      <c r="G23" s="198">
        <v>21500</v>
      </c>
      <c r="H23" s="192" t="s">
        <v>16</v>
      </c>
      <c r="I23" s="191"/>
    </row>
    <row r="24" spans="1:9" ht="45.75" customHeight="1">
      <c r="A24" s="183" t="s">
        <v>301</v>
      </c>
      <c r="B24" s="195">
        <v>39687</v>
      </c>
      <c r="C24" s="183" t="s">
        <v>302</v>
      </c>
      <c r="D24" s="184" t="s">
        <v>52</v>
      </c>
      <c r="E24" s="196" t="s">
        <v>94</v>
      </c>
      <c r="F24" s="519" t="s">
        <v>541</v>
      </c>
      <c r="G24" s="198">
        <v>21500</v>
      </c>
      <c r="H24" s="192" t="s">
        <v>16</v>
      </c>
      <c r="I24" s="191"/>
    </row>
    <row r="25" spans="1:9" ht="45.75" customHeight="1">
      <c r="A25" s="183" t="s">
        <v>270</v>
      </c>
      <c r="B25" s="195">
        <v>39737</v>
      </c>
      <c r="C25" s="191" t="s">
        <v>271</v>
      </c>
      <c r="D25" s="184" t="s">
        <v>52</v>
      </c>
      <c r="E25" s="196" t="s">
        <v>95</v>
      </c>
      <c r="F25" s="519" t="s">
        <v>541</v>
      </c>
      <c r="G25" s="198">
        <v>21500</v>
      </c>
      <c r="H25" s="192" t="s">
        <v>16</v>
      </c>
      <c r="I25" s="191"/>
    </row>
    <row r="26" spans="1:9" ht="45.75" customHeight="1">
      <c r="A26" s="247" t="s">
        <v>270</v>
      </c>
      <c r="B26" s="400">
        <v>39737</v>
      </c>
      <c r="C26" s="247" t="s">
        <v>271</v>
      </c>
      <c r="D26" s="434" t="s">
        <v>52</v>
      </c>
      <c r="E26" s="402" t="s">
        <v>96</v>
      </c>
      <c r="F26" s="521" t="s">
        <v>541</v>
      </c>
      <c r="G26" s="436">
        <v>21500</v>
      </c>
      <c r="H26" s="192" t="s">
        <v>16</v>
      </c>
      <c r="I26" s="191"/>
    </row>
    <row r="27" spans="1:9" ht="45.75" customHeight="1">
      <c r="A27" s="211" t="s">
        <v>270</v>
      </c>
      <c r="B27" s="195">
        <v>39737</v>
      </c>
      <c r="C27" s="183" t="s">
        <v>271</v>
      </c>
      <c r="D27" s="184" t="s">
        <v>52</v>
      </c>
      <c r="E27" s="196" t="s">
        <v>97</v>
      </c>
      <c r="F27" s="519" t="s">
        <v>541</v>
      </c>
      <c r="G27" s="198">
        <v>21500</v>
      </c>
      <c r="H27" s="192" t="s">
        <v>16</v>
      </c>
      <c r="I27" s="191"/>
    </row>
    <row r="28" spans="1:9" ht="45.75" customHeight="1">
      <c r="A28" s="183" t="s">
        <v>278</v>
      </c>
      <c r="B28" s="195">
        <v>39818</v>
      </c>
      <c r="C28" s="191" t="s">
        <v>279</v>
      </c>
      <c r="D28" s="184" t="s">
        <v>52</v>
      </c>
      <c r="E28" s="196" t="s">
        <v>110</v>
      </c>
      <c r="F28" s="519" t="s">
        <v>541</v>
      </c>
      <c r="G28" s="198">
        <v>21500</v>
      </c>
      <c r="H28" s="192" t="s">
        <v>16</v>
      </c>
      <c r="I28" s="191"/>
    </row>
    <row r="29" spans="1:9" ht="45.75" customHeight="1">
      <c r="A29" s="183" t="s">
        <v>278</v>
      </c>
      <c r="B29" s="195">
        <v>39818</v>
      </c>
      <c r="C29" s="191" t="s">
        <v>279</v>
      </c>
      <c r="D29" s="184" t="s">
        <v>52</v>
      </c>
      <c r="E29" s="196" t="s">
        <v>130</v>
      </c>
      <c r="F29" s="519" t="s">
        <v>541</v>
      </c>
      <c r="G29" s="198">
        <v>21500</v>
      </c>
      <c r="H29" s="192" t="s">
        <v>16</v>
      </c>
      <c r="I29" s="191"/>
    </row>
    <row r="30" spans="1:9" ht="45.75" customHeight="1">
      <c r="A30" s="183" t="s">
        <v>278</v>
      </c>
      <c r="B30" s="195">
        <v>39818</v>
      </c>
      <c r="C30" s="191" t="s">
        <v>279</v>
      </c>
      <c r="D30" s="184" t="s">
        <v>52</v>
      </c>
      <c r="E30" s="196" t="s">
        <v>132</v>
      </c>
      <c r="F30" s="519" t="s">
        <v>541</v>
      </c>
      <c r="G30" s="198">
        <v>21500</v>
      </c>
      <c r="H30" s="192" t="s">
        <v>16</v>
      </c>
      <c r="I30" s="191"/>
    </row>
    <row r="31" spans="1:9" ht="45.75" customHeight="1">
      <c r="A31" s="195" t="s">
        <v>332</v>
      </c>
      <c r="B31" s="195">
        <v>41360</v>
      </c>
      <c r="C31" s="191" t="s">
        <v>333</v>
      </c>
      <c r="D31" s="184" t="s">
        <v>52</v>
      </c>
      <c r="E31" s="204">
        <v>102286</v>
      </c>
      <c r="F31" s="519" t="s">
        <v>335</v>
      </c>
      <c r="G31" s="207">
        <v>20000</v>
      </c>
      <c r="H31" s="192" t="s">
        <v>16</v>
      </c>
      <c r="I31" s="191"/>
    </row>
    <row r="32" spans="1:9" ht="45.75" customHeight="1">
      <c r="A32" s="183" t="s">
        <v>312</v>
      </c>
      <c r="B32" s="195">
        <v>39821</v>
      </c>
      <c r="C32" s="191" t="s">
        <v>313</v>
      </c>
      <c r="D32" s="184" t="s">
        <v>52</v>
      </c>
      <c r="E32" s="196" t="s">
        <v>136</v>
      </c>
      <c r="F32" s="519" t="s">
        <v>541</v>
      </c>
      <c r="G32" s="198">
        <v>21500</v>
      </c>
      <c r="H32" s="192" t="s">
        <v>16</v>
      </c>
      <c r="I32" s="191"/>
    </row>
    <row r="33" spans="1:9" ht="45.75" customHeight="1">
      <c r="A33" s="211" t="s">
        <v>312</v>
      </c>
      <c r="B33" s="195">
        <v>39821</v>
      </c>
      <c r="C33" s="191" t="s">
        <v>313</v>
      </c>
      <c r="D33" s="184" t="s">
        <v>52</v>
      </c>
      <c r="E33" s="196" t="s">
        <v>137</v>
      </c>
      <c r="F33" s="519" t="s">
        <v>541</v>
      </c>
      <c r="G33" s="198">
        <v>21500</v>
      </c>
      <c r="H33" s="192" t="s">
        <v>16</v>
      </c>
      <c r="I33" s="453"/>
    </row>
    <row r="34" spans="1:9" ht="45.75" customHeight="1">
      <c r="A34" s="183" t="s">
        <v>346</v>
      </c>
      <c r="B34" s="195">
        <v>40095</v>
      </c>
      <c r="C34" s="202" t="s">
        <v>347</v>
      </c>
      <c r="D34" s="184" t="s">
        <v>52</v>
      </c>
      <c r="E34" s="204" t="s">
        <v>158</v>
      </c>
      <c r="F34" s="519" t="s">
        <v>541</v>
      </c>
      <c r="G34" s="198">
        <v>21500</v>
      </c>
      <c r="H34" s="192" t="s">
        <v>16</v>
      </c>
      <c r="I34" s="191"/>
    </row>
    <row r="35" spans="1:9" ht="45.75" customHeight="1">
      <c r="A35" s="183" t="s">
        <v>294</v>
      </c>
      <c r="B35" s="195">
        <v>40238</v>
      </c>
      <c r="C35" s="202" t="s">
        <v>295</v>
      </c>
      <c r="D35" s="184" t="s">
        <v>52</v>
      </c>
      <c r="E35" s="196" t="s">
        <v>159</v>
      </c>
      <c r="F35" s="519" t="s">
        <v>541</v>
      </c>
      <c r="G35" s="198">
        <v>21500</v>
      </c>
      <c r="H35" s="192" t="s">
        <v>16</v>
      </c>
      <c r="I35" s="191"/>
    </row>
    <row r="36" spans="1:9" ht="45.75" customHeight="1">
      <c r="A36" s="183" t="s">
        <v>299</v>
      </c>
      <c r="B36" s="195">
        <v>40073</v>
      </c>
      <c r="C36" s="195" t="s">
        <v>300</v>
      </c>
      <c r="D36" s="184" t="s">
        <v>52</v>
      </c>
      <c r="E36" s="196" t="s">
        <v>160</v>
      </c>
      <c r="F36" s="519" t="s">
        <v>541</v>
      </c>
      <c r="G36" s="198">
        <v>21500</v>
      </c>
      <c r="H36" s="192" t="s">
        <v>16</v>
      </c>
      <c r="I36" s="191"/>
    </row>
    <row r="37" spans="1:9" ht="45.75" customHeight="1">
      <c r="A37" s="183" t="s">
        <v>339</v>
      </c>
      <c r="B37" s="183" t="s">
        <v>340</v>
      </c>
      <c r="C37" s="183" t="s">
        <v>341</v>
      </c>
      <c r="D37" s="184" t="s">
        <v>52</v>
      </c>
      <c r="E37" s="196" t="s">
        <v>161</v>
      </c>
      <c r="F37" s="519" t="s">
        <v>541</v>
      </c>
      <c r="G37" s="198">
        <v>22575</v>
      </c>
      <c r="H37" s="192" t="s">
        <v>16</v>
      </c>
      <c r="I37" s="497" t="s">
        <v>2282</v>
      </c>
    </row>
    <row r="38" spans="1:9" ht="45.75" customHeight="1">
      <c r="A38" s="211" t="s">
        <v>349</v>
      </c>
      <c r="B38" s="183" t="s">
        <v>350</v>
      </c>
      <c r="C38" s="191" t="s">
        <v>298</v>
      </c>
      <c r="D38" s="184" t="s">
        <v>52</v>
      </c>
      <c r="E38" s="196" t="s">
        <v>162</v>
      </c>
      <c r="F38" s="519" t="s">
        <v>541</v>
      </c>
      <c r="G38" s="198">
        <v>21500</v>
      </c>
      <c r="H38" s="192" t="s">
        <v>16</v>
      </c>
      <c r="I38" s="191"/>
    </row>
    <row r="39" spans="1:9" ht="45.75" customHeight="1">
      <c r="A39" s="211" t="s">
        <v>296</v>
      </c>
      <c r="B39" s="183" t="s">
        <v>297</v>
      </c>
      <c r="C39" s="191" t="s">
        <v>298</v>
      </c>
      <c r="D39" s="184" t="s">
        <v>52</v>
      </c>
      <c r="E39" s="196" t="s">
        <v>163</v>
      </c>
      <c r="F39" s="519" t="s">
        <v>541</v>
      </c>
      <c r="G39" s="198">
        <v>21500</v>
      </c>
      <c r="H39" s="192" t="s">
        <v>16</v>
      </c>
      <c r="I39" s="191"/>
    </row>
    <row r="40" spans="1:9" ht="45.75" customHeight="1">
      <c r="A40" s="183" t="s">
        <v>321</v>
      </c>
      <c r="B40" s="183" t="s">
        <v>322</v>
      </c>
      <c r="C40" s="191" t="s">
        <v>323</v>
      </c>
      <c r="D40" s="184" t="s">
        <v>52</v>
      </c>
      <c r="E40" s="196" t="s">
        <v>164</v>
      </c>
      <c r="F40" s="519" t="s">
        <v>541</v>
      </c>
      <c r="G40" s="198">
        <v>22575</v>
      </c>
      <c r="H40" s="192" t="s">
        <v>16</v>
      </c>
      <c r="I40" s="191"/>
    </row>
    <row r="41" spans="1:9" ht="45.75" customHeight="1">
      <c r="A41" s="211" t="s">
        <v>321</v>
      </c>
      <c r="B41" s="183" t="s">
        <v>322</v>
      </c>
      <c r="C41" s="191" t="s">
        <v>323</v>
      </c>
      <c r="D41" s="184" t="s">
        <v>52</v>
      </c>
      <c r="E41" s="196" t="s">
        <v>165</v>
      </c>
      <c r="F41" s="519" t="s">
        <v>541</v>
      </c>
      <c r="G41" s="198">
        <v>22575</v>
      </c>
      <c r="H41" s="192" t="s">
        <v>16</v>
      </c>
      <c r="I41" s="191"/>
    </row>
    <row r="42" spans="1:9" ht="45.75" customHeight="1">
      <c r="A42" s="247" t="s">
        <v>287</v>
      </c>
      <c r="B42" s="400" t="s">
        <v>288</v>
      </c>
      <c r="C42" s="247" t="s">
        <v>289</v>
      </c>
      <c r="D42" s="434" t="s">
        <v>52</v>
      </c>
      <c r="E42" s="402" t="s">
        <v>167</v>
      </c>
      <c r="F42" s="521" t="s">
        <v>541</v>
      </c>
      <c r="G42" s="436">
        <v>22575</v>
      </c>
      <c r="H42" s="192" t="s">
        <v>16</v>
      </c>
      <c r="I42" s="191"/>
    </row>
    <row r="43" spans="1:9" ht="45.75" customHeight="1">
      <c r="A43" s="211" t="s">
        <v>542</v>
      </c>
      <c r="B43" s="195">
        <v>43465</v>
      </c>
      <c r="C43" s="191" t="s">
        <v>543</v>
      </c>
      <c r="D43" s="184" t="s">
        <v>2098</v>
      </c>
      <c r="E43" s="204" t="s">
        <v>533</v>
      </c>
      <c r="F43" s="519" t="s">
        <v>544</v>
      </c>
      <c r="G43" s="198">
        <v>24100</v>
      </c>
      <c r="H43" s="192" t="s">
        <v>16</v>
      </c>
      <c r="I43" s="191"/>
    </row>
    <row r="44" spans="1:9" ht="45.75" customHeight="1">
      <c r="A44" s="183" t="s">
        <v>907</v>
      </c>
      <c r="B44" s="195">
        <v>43656</v>
      </c>
      <c r="C44" s="191" t="s">
        <v>906</v>
      </c>
      <c r="D44" s="184" t="s">
        <v>2098</v>
      </c>
      <c r="E44" s="196" t="s">
        <v>817</v>
      </c>
      <c r="F44" s="519" t="s">
        <v>544</v>
      </c>
      <c r="G44" s="198">
        <v>24100</v>
      </c>
      <c r="H44" s="192" t="s">
        <v>16</v>
      </c>
      <c r="I44" s="191"/>
    </row>
    <row r="45" spans="1:9" ht="45.75" customHeight="1">
      <c r="A45" s="183" t="s">
        <v>1038</v>
      </c>
      <c r="B45" s="195">
        <v>43668</v>
      </c>
      <c r="C45" s="191" t="s">
        <v>906</v>
      </c>
      <c r="D45" s="184" t="s">
        <v>2098</v>
      </c>
      <c r="E45" s="196" t="s">
        <v>1033</v>
      </c>
      <c r="F45" s="519" t="s">
        <v>544</v>
      </c>
      <c r="G45" s="198">
        <v>24100</v>
      </c>
      <c r="H45" s="192" t="s">
        <v>16</v>
      </c>
      <c r="I45" s="191"/>
    </row>
    <row r="46" spans="1:9" ht="45.75" customHeight="1">
      <c r="A46" s="183" t="s">
        <v>1197</v>
      </c>
      <c r="B46" s="195">
        <v>43794</v>
      </c>
      <c r="C46" s="191" t="s">
        <v>1187</v>
      </c>
      <c r="D46" s="184" t="s">
        <v>2098</v>
      </c>
      <c r="E46" s="196" t="s">
        <v>1179</v>
      </c>
      <c r="F46" s="519" t="s">
        <v>544</v>
      </c>
      <c r="G46" s="198">
        <v>21300</v>
      </c>
      <c r="H46" s="192" t="s">
        <v>16</v>
      </c>
      <c r="I46" s="191"/>
    </row>
    <row r="47" spans="1:9" ht="45.75" customHeight="1">
      <c r="A47" s="183" t="s">
        <v>1196</v>
      </c>
      <c r="B47" s="195">
        <v>43794</v>
      </c>
      <c r="C47" s="191" t="s">
        <v>1175</v>
      </c>
      <c r="D47" s="184" t="s">
        <v>2098</v>
      </c>
      <c r="E47" s="196" t="s">
        <v>1172</v>
      </c>
      <c r="F47" s="519" t="s">
        <v>544</v>
      </c>
      <c r="G47" s="198">
        <v>21300</v>
      </c>
      <c r="H47" s="192" t="s">
        <v>16</v>
      </c>
      <c r="I47" s="191"/>
    </row>
    <row r="48" spans="1:9" ht="45.75" customHeight="1">
      <c r="A48" s="183" t="s">
        <v>1399</v>
      </c>
      <c r="B48" s="195">
        <v>44202</v>
      </c>
      <c r="C48" s="191" t="s">
        <v>1400</v>
      </c>
      <c r="D48" s="184" t="s">
        <v>2098</v>
      </c>
      <c r="E48" s="196" t="s">
        <v>1314</v>
      </c>
      <c r="F48" s="519" t="s">
        <v>544</v>
      </c>
      <c r="G48" s="198">
        <v>21300</v>
      </c>
      <c r="H48" s="192" t="s">
        <v>16</v>
      </c>
      <c r="I48" s="191"/>
    </row>
    <row r="49" spans="1:9" ht="45.75" customHeight="1">
      <c r="A49" s="183" t="s">
        <v>1395</v>
      </c>
      <c r="B49" s="195">
        <v>44180</v>
      </c>
      <c r="C49" s="191" t="s">
        <v>1394</v>
      </c>
      <c r="D49" s="184" t="s">
        <v>2098</v>
      </c>
      <c r="E49" s="196" t="s">
        <v>1332</v>
      </c>
      <c r="F49" s="519" t="s">
        <v>544</v>
      </c>
      <c r="G49" s="198">
        <v>21300</v>
      </c>
      <c r="H49" s="192" t="s">
        <v>16</v>
      </c>
      <c r="I49" s="191"/>
    </row>
    <row r="50" spans="1:9" ht="45.75" customHeight="1">
      <c r="A50" s="183" t="s">
        <v>1429</v>
      </c>
      <c r="B50" s="195">
        <v>44265</v>
      </c>
      <c r="C50" s="191" t="s">
        <v>1418</v>
      </c>
      <c r="D50" s="184" t="s">
        <v>2098</v>
      </c>
      <c r="E50" s="196" t="s">
        <v>1426</v>
      </c>
      <c r="F50" s="519" t="s">
        <v>1430</v>
      </c>
      <c r="G50" s="215">
        <v>14500</v>
      </c>
      <c r="H50" s="192" t="s">
        <v>16</v>
      </c>
      <c r="I50" s="191"/>
    </row>
    <row r="51" spans="1:9" ht="45.75" customHeight="1">
      <c r="A51" s="183" t="s">
        <v>1429</v>
      </c>
      <c r="B51" s="195">
        <v>44265</v>
      </c>
      <c r="C51" s="191" t="s">
        <v>1418</v>
      </c>
      <c r="D51" s="184" t="s">
        <v>2098</v>
      </c>
      <c r="E51" s="196" t="s">
        <v>1427</v>
      </c>
      <c r="F51" s="519" t="s">
        <v>1430</v>
      </c>
      <c r="G51" s="215">
        <v>14500</v>
      </c>
      <c r="H51" s="192" t="s">
        <v>16</v>
      </c>
      <c r="I51" s="191"/>
    </row>
    <row r="52" spans="1:9" ht="45.75" customHeight="1">
      <c r="A52" s="206" t="s">
        <v>1586</v>
      </c>
      <c r="B52" s="195">
        <v>44480</v>
      </c>
      <c r="C52" s="191" t="s">
        <v>1551</v>
      </c>
      <c r="D52" s="184" t="s">
        <v>2352</v>
      </c>
      <c r="E52" s="196" t="s">
        <v>1579</v>
      </c>
      <c r="F52" s="492" t="s">
        <v>1554</v>
      </c>
      <c r="G52" s="198">
        <v>21500</v>
      </c>
      <c r="H52" s="192" t="s">
        <v>16</v>
      </c>
      <c r="I52" s="191"/>
    </row>
    <row r="53" spans="1:9" ht="45.75" customHeight="1">
      <c r="A53" s="206" t="s">
        <v>1586</v>
      </c>
      <c r="B53" s="195">
        <v>44480</v>
      </c>
      <c r="C53" s="213" t="s">
        <v>1551</v>
      </c>
      <c r="D53" s="434" t="s">
        <v>1975</v>
      </c>
      <c r="E53" s="196" t="s">
        <v>1577</v>
      </c>
      <c r="F53" s="492" t="s">
        <v>1554</v>
      </c>
      <c r="G53" s="198">
        <v>21500</v>
      </c>
      <c r="H53" s="192" t="s">
        <v>16</v>
      </c>
      <c r="I53" s="191"/>
    </row>
    <row r="54" spans="1:9" ht="45.75" customHeight="1">
      <c r="A54" s="214" t="s">
        <v>1818</v>
      </c>
      <c r="B54" s="195">
        <v>44859</v>
      </c>
      <c r="C54" s="214" t="s">
        <v>1819</v>
      </c>
      <c r="D54" s="184" t="s">
        <v>2352</v>
      </c>
      <c r="E54" s="196" t="s">
        <v>1820</v>
      </c>
      <c r="F54" s="492" t="s">
        <v>1554</v>
      </c>
      <c r="G54" s="198">
        <v>22300</v>
      </c>
      <c r="H54" s="192" t="s">
        <v>16</v>
      </c>
      <c r="I54" s="191"/>
    </row>
    <row r="55" spans="1:9" ht="45.75" customHeight="1">
      <c r="A55" s="213" t="s">
        <v>1615</v>
      </c>
      <c r="B55" s="195">
        <v>44500</v>
      </c>
      <c r="C55" s="213" t="s">
        <v>1616</v>
      </c>
      <c r="D55" s="184" t="s">
        <v>257</v>
      </c>
      <c r="E55" s="204" t="s">
        <v>1620</v>
      </c>
      <c r="F55" s="492" t="s">
        <v>1559</v>
      </c>
      <c r="G55" s="198">
        <v>11215</v>
      </c>
      <c r="H55" s="192" t="s">
        <v>16</v>
      </c>
      <c r="I55" s="191"/>
    </row>
    <row r="56" spans="1:9" ht="45.75" customHeight="1">
      <c r="A56" s="206" t="s">
        <v>1615</v>
      </c>
      <c r="B56" s="195">
        <v>44500</v>
      </c>
      <c r="C56" s="206" t="s">
        <v>1616</v>
      </c>
      <c r="D56" s="184" t="s">
        <v>257</v>
      </c>
      <c r="E56" s="204" t="s">
        <v>1618</v>
      </c>
      <c r="F56" s="492" t="s">
        <v>1559</v>
      </c>
      <c r="G56" s="198">
        <v>11215</v>
      </c>
      <c r="H56" s="192" t="s">
        <v>16</v>
      </c>
      <c r="I56" s="191"/>
    </row>
    <row r="57" spans="1:9" ht="45.75" customHeight="1">
      <c r="A57" s="214" t="s">
        <v>1640</v>
      </c>
      <c r="B57" s="195">
        <v>44538</v>
      </c>
      <c r="C57" s="214" t="s">
        <v>1641</v>
      </c>
      <c r="D57" s="184" t="s">
        <v>257</v>
      </c>
      <c r="E57" s="196" t="s">
        <v>1644</v>
      </c>
      <c r="F57" s="492" t="s">
        <v>1559</v>
      </c>
      <c r="G57" s="198">
        <v>11215</v>
      </c>
      <c r="H57" s="192" t="s">
        <v>16</v>
      </c>
      <c r="I57" s="191"/>
    </row>
    <row r="58" spans="1:9" ht="45.75" customHeight="1">
      <c r="A58" s="214" t="s">
        <v>1865</v>
      </c>
      <c r="B58" s="400">
        <v>44972</v>
      </c>
      <c r="C58" s="214" t="s">
        <v>1849</v>
      </c>
      <c r="D58" s="396" t="s">
        <v>1850</v>
      </c>
      <c r="E58" s="196" t="s">
        <v>1860</v>
      </c>
      <c r="F58" s="522" t="s">
        <v>1852</v>
      </c>
      <c r="G58" s="395">
        <v>16500</v>
      </c>
      <c r="H58" s="192" t="s">
        <v>16</v>
      </c>
      <c r="I58" s="191"/>
    </row>
    <row r="59" spans="1:9" ht="45.75" customHeight="1">
      <c r="A59" s="524" t="s">
        <v>1647</v>
      </c>
      <c r="B59" s="195">
        <v>44564</v>
      </c>
      <c r="C59" s="214" t="s">
        <v>1648</v>
      </c>
      <c r="D59" s="184" t="s">
        <v>1975</v>
      </c>
      <c r="E59" s="196" t="s">
        <v>1650</v>
      </c>
      <c r="F59" s="326" t="s">
        <v>1554</v>
      </c>
      <c r="G59" s="198">
        <v>21500</v>
      </c>
      <c r="H59" s="192" t="s">
        <v>2082</v>
      </c>
      <c r="I59" s="191" t="s">
        <v>2083</v>
      </c>
    </row>
    <row r="60" spans="1:9" ht="45.75" customHeight="1">
      <c r="A60" s="525" t="s">
        <v>2100</v>
      </c>
      <c r="B60" s="400">
        <v>45366</v>
      </c>
      <c r="C60" s="247" t="s">
        <v>2086</v>
      </c>
      <c r="D60" s="434" t="s">
        <v>1975</v>
      </c>
      <c r="E60" s="402" t="s">
        <v>2094</v>
      </c>
      <c r="F60" s="435" t="s">
        <v>1983</v>
      </c>
      <c r="G60" s="436">
        <v>22300</v>
      </c>
      <c r="H60" s="192" t="s">
        <v>2101</v>
      </c>
      <c r="I60" s="191" t="s">
        <v>2083</v>
      </c>
    </row>
    <row r="61" spans="1:9" ht="45.75" customHeight="1">
      <c r="A61" s="526" t="s">
        <v>907</v>
      </c>
      <c r="B61" s="195">
        <v>43656</v>
      </c>
      <c r="C61" s="191" t="s">
        <v>906</v>
      </c>
      <c r="D61" s="184" t="s">
        <v>2098</v>
      </c>
      <c r="E61" s="196" t="s">
        <v>823</v>
      </c>
      <c r="F61" s="197" t="s">
        <v>544</v>
      </c>
      <c r="G61" s="198">
        <v>24100</v>
      </c>
      <c r="H61" s="192" t="s">
        <v>2302</v>
      </c>
      <c r="I61" s="191" t="s">
        <v>2304</v>
      </c>
    </row>
    <row r="62" spans="1:9" ht="45.75" customHeight="1">
      <c r="A62" s="525" t="s">
        <v>2179</v>
      </c>
      <c r="B62" s="400">
        <v>45391</v>
      </c>
      <c r="C62" s="247" t="s">
        <v>2086</v>
      </c>
      <c r="D62" s="434" t="s">
        <v>1975</v>
      </c>
      <c r="E62" s="402" t="s">
        <v>2122</v>
      </c>
      <c r="F62" s="435" t="s">
        <v>1983</v>
      </c>
      <c r="G62" s="436">
        <v>22302</v>
      </c>
      <c r="H62" s="192" t="s">
        <v>2303</v>
      </c>
      <c r="I62" s="191" t="s">
        <v>2304</v>
      </c>
    </row>
    <row r="63" spans="1:9" ht="45.75" customHeight="1">
      <c r="A63" s="526" t="s">
        <v>1197</v>
      </c>
      <c r="B63" s="195">
        <v>43794</v>
      </c>
      <c r="C63" s="191" t="s">
        <v>1187</v>
      </c>
      <c r="D63" s="184" t="s">
        <v>2098</v>
      </c>
      <c r="E63" s="196" t="s">
        <v>1181</v>
      </c>
      <c r="F63" s="197" t="s">
        <v>544</v>
      </c>
      <c r="G63" s="198">
        <v>21300</v>
      </c>
      <c r="H63" s="192" t="s">
        <v>2045</v>
      </c>
      <c r="I63" s="191" t="s">
        <v>2044</v>
      </c>
    </row>
    <row r="64" spans="1:9" ht="45.75" customHeight="1">
      <c r="A64" s="524" t="s">
        <v>1865</v>
      </c>
      <c r="B64" s="398">
        <v>44972</v>
      </c>
      <c r="C64" s="214" t="s">
        <v>1849</v>
      </c>
      <c r="D64" s="396" t="s">
        <v>1850</v>
      </c>
      <c r="E64" s="204" t="s">
        <v>1861</v>
      </c>
      <c r="F64" s="397" t="s">
        <v>1852</v>
      </c>
      <c r="G64" s="395">
        <v>16500</v>
      </c>
      <c r="H64" s="192" t="s">
        <v>2046</v>
      </c>
      <c r="I64" s="191" t="s">
        <v>2044</v>
      </c>
    </row>
    <row r="65" spans="1:9" ht="45.75" customHeight="1">
      <c r="A65" s="526" t="s">
        <v>1037</v>
      </c>
      <c r="B65" s="195">
        <v>43664</v>
      </c>
      <c r="C65" s="191" t="s">
        <v>906</v>
      </c>
      <c r="D65" s="184" t="s">
        <v>2098</v>
      </c>
      <c r="E65" s="196" t="s">
        <v>877</v>
      </c>
      <c r="F65" s="197" t="s">
        <v>544</v>
      </c>
      <c r="G65" s="198">
        <v>24100</v>
      </c>
      <c r="H65" s="192" t="s">
        <v>2047</v>
      </c>
      <c r="I65" s="191" t="s">
        <v>2044</v>
      </c>
    </row>
    <row r="66" spans="1:9" ht="45.75" customHeight="1">
      <c r="A66" s="526" t="s">
        <v>1039</v>
      </c>
      <c r="B66" s="195">
        <v>43661</v>
      </c>
      <c r="C66" s="183" t="s">
        <v>906</v>
      </c>
      <c r="D66" s="184" t="s">
        <v>2098</v>
      </c>
      <c r="E66" s="196" t="s">
        <v>858</v>
      </c>
      <c r="F66" s="197" t="s">
        <v>544</v>
      </c>
      <c r="G66" s="198">
        <v>24100</v>
      </c>
      <c r="H66" s="192" t="s">
        <v>2048</v>
      </c>
      <c r="I66" s="191" t="s">
        <v>2044</v>
      </c>
    </row>
    <row r="67" spans="1:9" ht="45.75" customHeight="1">
      <c r="A67" s="526" t="s">
        <v>1039</v>
      </c>
      <c r="B67" s="195">
        <v>43661</v>
      </c>
      <c r="C67" s="183" t="s">
        <v>906</v>
      </c>
      <c r="D67" s="184" t="s">
        <v>2098</v>
      </c>
      <c r="E67" s="196" t="s">
        <v>861</v>
      </c>
      <c r="F67" s="197" t="s">
        <v>544</v>
      </c>
      <c r="G67" s="198">
        <v>24100</v>
      </c>
      <c r="H67" s="192" t="s">
        <v>2049</v>
      </c>
      <c r="I67" s="191" t="s">
        <v>2044</v>
      </c>
    </row>
    <row r="68" spans="1:9" ht="45.75" customHeight="1">
      <c r="A68" s="526" t="s">
        <v>1196</v>
      </c>
      <c r="B68" s="195">
        <v>43794</v>
      </c>
      <c r="C68" s="191" t="s">
        <v>1175</v>
      </c>
      <c r="D68" s="184" t="s">
        <v>2098</v>
      </c>
      <c r="E68" s="196" t="s">
        <v>1174</v>
      </c>
      <c r="F68" s="197" t="s">
        <v>544</v>
      </c>
      <c r="G68" s="198">
        <v>21300</v>
      </c>
      <c r="H68" s="192" t="s">
        <v>2013</v>
      </c>
      <c r="I68" s="191" t="s">
        <v>2012</v>
      </c>
    </row>
    <row r="69" spans="1:9" ht="45.75" customHeight="1">
      <c r="A69" s="525" t="s">
        <v>1900</v>
      </c>
      <c r="B69" s="400">
        <v>45044</v>
      </c>
      <c r="C69" s="247" t="s">
        <v>1879</v>
      </c>
      <c r="D69" s="401" t="s">
        <v>1880</v>
      </c>
      <c r="E69" s="402" t="s">
        <v>1881</v>
      </c>
      <c r="F69" s="403" t="s">
        <v>1882</v>
      </c>
      <c r="G69" s="405">
        <v>22300</v>
      </c>
      <c r="H69" s="192" t="s">
        <v>2014</v>
      </c>
      <c r="I69" s="191" t="s">
        <v>2012</v>
      </c>
    </row>
    <row r="70" spans="1:9" ht="45.75" customHeight="1">
      <c r="A70" s="526" t="s">
        <v>1429</v>
      </c>
      <c r="B70" s="195">
        <v>44265</v>
      </c>
      <c r="C70" s="191" t="s">
        <v>1418</v>
      </c>
      <c r="D70" s="184" t="s">
        <v>2098</v>
      </c>
      <c r="E70" s="196" t="s">
        <v>1419</v>
      </c>
      <c r="F70" s="197" t="s">
        <v>1430</v>
      </c>
      <c r="G70" s="215">
        <v>14500</v>
      </c>
      <c r="H70" s="192" t="s">
        <v>2015</v>
      </c>
      <c r="I70" s="191" t="s">
        <v>2012</v>
      </c>
    </row>
    <row r="71" spans="1:9" ht="45.75" customHeight="1">
      <c r="A71" s="525" t="s">
        <v>2201</v>
      </c>
      <c r="B71" s="400">
        <v>45625</v>
      </c>
      <c r="C71" s="247" t="s">
        <v>2200</v>
      </c>
      <c r="D71" s="434" t="s">
        <v>1975</v>
      </c>
      <c r="E71" s="402" t="s">
        <v>2198</v>
      </c>
      <c r="F71" s="435" t="s">
        <v>1983</v>
      </c>
      <c r="G71" s="436">
        <v>22300</v>
      </c>
      <c r="H71" s="192" t="s">
        <v>2227</v>
      </c>
      <c r="I71" s="191" t="s">
        <v>2226</v>
      </c>
    </row>
    <row r="72" spans="1:9" ht="45.75" customHeight="1">
      <c r="A72" s="526" t="s">
        <v>1038</v>
      </c>
      <c r="B72" s="195">
        <v>43668</v>
      </c>
      <c r="C72" s="191" t="s">
        <v>906</v>
      </c>
      <c r="D72" s="184" t="s">
        <v>2098</v>
      </c>
      <c r="E72" s="196" t="s">
        <v>1031</v>
      </c>
      <c r="F72" s="197" t="s">
        <v>544</v>
      </c>
      <c r="G72" s="198">
        <v>24100</v>
      </c>
      <c r="H72" s="192" t="s">
        <v>2228</v>
      </c>
      <c r="I72" s="191" t="s">
        <v>2226</v>
      </c>
    </row>
    <row r="73" spans="1:9" ht="45.75" customHeight="1">
      <c r="A73" s="525" t="s">
        <v>2201</v>
      </c>
      <c r="B73" s="400">
        <v>45625</v>
      </c>
      <c r="C73" s="247" t="s">
        <v>2200</v>
      </c>
      <c r="D73" s="434" t="s">
        <v>1975</v>
      </c>
      <c r="E73" s="402" t="s">
        <v>2197</v>
      </c>
      <c r="F73" s="435" t="s">
        <v>1983</v>
      </c>
      <c r="G73" s="436">
        <v>22300</v>
      </c>
      <c r="H73" s="192" t="s">
        <v>2242</v>
      </c>
      <c r="I73" s="191" t="s">
        <v>2226</v>
      </c>
    </row>
    <row r="74" spans="1:9" ht="45.75" customHeight="1">
      <c r="A74" s="527" t="s">
        <v>1177</v>
      </c>
      <c r="B74" s="201">
        <v>43735</v>
      </c>
      <c r="C74" s="205" t="s">
        <v>1176</v>
      </c>
      <c r="D74" s="184" t="s">
        <v>2098</v>
      </c>
      <c r="E74" s="196" t="s">
        <v>1127</v>
      </c>
      <c r="F74" s="197" t="s">
        <v>544</v>
      </c>
      <c r="G74" s="198">
        <v>21300</v>
      </c>
      <c r="H74" s="192" t="s">
        <v>2243</v>
      </c>
      <c r="I74" s="191" t="s">
        <v>2226</v>
      </c>
    </row>
    <row r="75" spans="1:9" ht="45.75" customHeight="1">
      <c r="A75" s="526" t="s">
        <v>1039</v>
      </c>
      <c r="B75" s="195">
        <v>43661</v>
      </c>
      <c r="C75" s="191" t="s">
        <v>906</v>
      </c>
      <c r="D75" s="184" t="s">
        <v>2098</v>
      </c>
      <c r="E75" s="196" t="s">
        <v>857</v>
      </c>
      <c r="F75" s="197" t="s">
        <v>544</v>
      </c>
      <c r="G75" s="198">
        <v>24100</v>
      </c>
      <c r="H75" s="192" t="s">
        <v>2163</v>
      </c>
      <c r="I75" s="191" t="s">
        <v>2130</v>
      </c>
    </row>
    <row r="76" spans="1:9" ht="45.75" customHeight="1">
      <c r="A76" s="526" t="s">
        <v>1481</v>
      </c>
      <c r="B76" s="195">
        <v>44316</v>
      </c>
      <c r="C76" s="191" t="s">
        <v>1480</v>
      </c>
      <c r="D76" s="184" t="s">
        <v>2098</v>
      </c>
      <c r="E76" s="196" t="s">
        <v>1442</v>
      </c>
      <c r="F76" s="197" t="s">
        <v>1430</v>
      </c>
      <c r="G76" s="215">
        <v>14500</v>
      </c>
      <c r="H76" s="192" t="s">
        <v>2168</v>
      </c>
      <c r="I76" s="191" t="s">
        <v>2130</v>
      </c>
    </row>
    <row r="77" spans="1:9" ht="45.75" customHeight="1">
      <c r="A77" s="525" t="s">
        <v>2111</v>
      </c>
      <c r="B77" s="400">
        <v>45373</v>
      </c>
      <c r="C77" s="247" t="s">
        <v>2086</v>
      </c>
      <c r="D77" s="434" t="s">
        <v>1975</v>
      </c>
      <c r="E77" s="402" t="s">
        <v>2107</v>
      </c>
      <c r="F77" s="435" t="s">
        <v>1983</v>
      </c>
      <c r="G77" s="436">
        <v>22300</v>
      </c>
      <c r="H77" s="192" t="s">
        <v>2167</v>
      </c>
      <c r="I77" s="191" t="s">
        <v>2130</v>
      </c>
    </row>
    <row r="78" spans="1:9" ht="45.75" customHeight="1">
      <c r="A78" s="526" t="s">
        <v>1438</v>
      </c>
      <c r="B78" s="195">
        <v>44280</v>
      </c>
      <c r="C78" s="191" t="s">
        <v>1439</v>
      </c>
      <c r="D78" s="184" t="s">
        <v>2098</v>
      </c>
      <c r="E78" s="196" t="s">
        <v>1433</v>
      </c>
      <c r="F78" s="197" t="s">
        <v>1430</v>
      </c>
      <c r="G78" s="215">
        <v>14500</v>
      </c>
      <c r="H78" s="192" t="s">
        <v>2166</v>
      </c>
      <c r="I78" s="191" t="s">
        <v>2130</v>
      </c>
    </row>
    <row r="79" spans="1:9" ht="45.75" customHeight="1">
      <c r="A79" s="526" t="s">
        <v>1038</v>
      </c>
      <c r="B79" s="195">
        <v>43664</v>
      </c>
      <c r="C79" s="191" t="s">
        <v>906</v>
      </c>
      <c r="D79" s="208" t="s">
        <v>2098</v>
      </c>
      <c r="E79" s="203" t="s">
        <v>1025</v>
      </c>
      <c r="F79" s="209" t="s">
        <v>544</v>
      </c>
      <c r="G79" s="210">
        <v>24100</v>
      </c>
      <c r="H79" s="192" t="s">
        <v>2165</v>
      </c>
      <c r="I79" s="191" t="s">
        <v>2130</v>
      </c>
    </row>
    <row r="80" spans="1:9" ht="45.75" customHeight="1">
      <c r="A80" s="525" t="s">
        <v>2099</v>
      </c>
      <c r="B80" s="400">
        <v>45366</v>
      </c>
      <c r="C80" s="247" t="s">
        <v>2086</v>
      </c>
      <c r="D80" s="434" t="s">
        <v>1975</v>
      </c>
      <c r="E80" s="402" t="s">
        <v>2089</v>
      </c>
      <c r="F80" s="435" t="s">
        <v>1983</v>
      </c>
      <c r="G80" s="436">
        <v>22300</v>
      </c>
      <c r="H80" s="192" t="s">
        <v>2164</v>
      </c>
      <c r="I80" s="191" t="s">
        <v>2130</v>
      </c>
    </row>
    <row r="81" spans="1:9" ht="45.75" customHeight="1">
      <c r="A81" s="525" t="s">
        <v>2181</v>
      </c>
      <c r="B81" s="400">
        <v>45420</v>
      </c>
      <c r="C81" s="247" t="s">
        <v>2125</v>
      </c>
      <c r="D81" s="434" t="s">
        <v>1975</v>
      </c>
      <c r="E81" s="402" t="s">
        <v>2124</v>
      </c>
      <c r="F81" s="435" t="s">
        <v>1983</v>
      </c>
      <c r="G81" s="436">
        <v>22300</v>
      </c>
      <c r="H81" s="192" t="s">
        <v>2169</v>
      </c>
      <c r="I81" s="191" t="s">
        <v>2130</v>
      </c>
    </row>
    <row r="82" spans="1:9" ht="45.75" customHeight="1">
      <c r="A82" s="525" t="s">
        <v>2182</v>
      </c>
      <c r="B82" s="400">
        <v>45432</v>
      </c>
      <c r="C82" s="247" t="s">
        <v>2125</v>
      </c>
      <c r="D82" s="434" t="s">
        <v>1975</v>
      </c>
      <c r="E82" s="402" t="s">
        <v>2129</v>
      </c>
      <c r="F82" s="435" t="s">
        <v>1983</v>
      </c>
      <c r="G82" s="436">
        <v>22300</v>
      </c>
      <c r="H82" s="192" t="s">
        <v>2170</v>
      </c>
      <c r="I82" s="191" t="s">
        <v>2130</v>
      </c>
    </row>
    <row r="83" spans="1:9" ht="45.75" customHeight="1">
      <c r="A83" s="525" t="s">
        <v>1900</v>
      </c>
      <c r="B83" s="400">
        <v>45044</v>
      </c>
      <c r="C83" s="247" t="s">
        <v>1879</v>
      </c>
      <c r="D83" s="401" t="s">
        <v>1880</v>
      </c>
      <c r="E83" s="402" t="s">
        <v>1885</v>
      </c>
      <c r="F83" s="403" t="s">
        <v>1882</v>
      </c>
      <c r="G83" s="405">
        <v>22300</v>
      </c>
      <c r="H83" s="192" t="s">
        <v>2058</v>
      </c>
      <c r="I83" s="191" t="s">
        <v>2050</v>
      </c>
    </row>
    <row r="84" spans="1:9" ht="45.75" customHeight="1">
      <c r="A84" s="524" t="s">
        <v>1647</v>
      </c>
      <c r="B84" s="195">
        <v>44564</v>
      </c>
      <c r="C84" s="214" t="s">
        <v>1648</v>
      </c>
      <c r="D84" s="184" t="s">
        <v>2352</v>
      </c>
      <c r="E84" s="196" t="s">
        <v>1652</v>
      </c>
      <c r="F84" s="326" t="s">
        <v>1554</v>
      </c>
      <c r="G84" s="198">
        <v>21500</v>
      </c>
      <c r="H84" s="192" t="s">
        <v>2059</v>
      </c>
      <c r="I84" s="191" t="s">
        <v>2050</v>
      </c>
    </row>
    <row r="85" spans="1:9" ht="45.75" customHeight="1">
      <c r="A85" s="525" t="s">
        <v>2026</v>
      </c>
      <c r="B85" s="400">
        <v>45237</v>
      </c>
      <c r="C85" s="247" t="s">
        <v>1974</v>
      </c>
      <c r="D85" s="434" t="s">
        <v>1975</v>
      </c>
      <c r="E85" s="402" t="s">
        <v>2025</v>
      </c>
      <c r="F85" s="435" t="s">
        <v>1983</v>
      </c>
      <c r="G85" s="436">
        <v>22300</v>
      </c>
      <c r="H85" s="192" t="s">
        <v>2193</v>
      </c>
      <c r="I85" s="191" t="s">
        <v>2050</v>
      </c>
    </row>
    <row r="86" spans="1:9" ht="45.75" customHeight="1">
      <c r="A86" s="526" t="s">
        <v>907</v>
      </c>
      <c r="B86" s="195">
        <v>43656</v>
      </c>
      <c r="C86" s="183" t="s">
        <v>906</v>
      </c>
      <c r="D86" s="184" t="s">
        <v>2098</v>
      </c>
      <c r="E86" s="196" t="s">
        <v>815</v>
      </c>
      <c r="F86" s="197" t="s">
        <v>544</v>
      </c>
      <c r="G86" s="198">
        <v>24100</v>
      </c>
      <c r="H86" s="192" t="s">
        <v>2214</v>
      </c>
      <c r="I86" s="191" t="s">
        <v>2050</v>
      </c>
    </row>
    <row r="87" spans="1:9" ht="45.75" customHeight="1">
      <c r="A87" s="525" t="s">
        <v>2179</v>
      </c>
      <c r="B87" s="400">
        <v>45391</v>
      </c>
      <c r="C87" s="247" t="s">
        <v>2086</v>
      </c>
      <c r="D87" s="434" t="s">
        <v>1975</v>
      </c>
      <c r="E87" s="402" t="s">
        <v>2120</v>
      </c>
      <c r="F87" s="435" t="s">
        <v>1983</v>
      </c>
      <c r="G87" s="436">
        <v>22301</v>
      </c>
      <c r="H87" s="192" t="s">
        <v>2215</v>
      </c>
      <c r="I87" s="191" t="s">
        <v>2050</v>
      </c>
    </row>
    <row r="88" spans="1:9" ht="45.75" customHeight="1">
      <c r="A88" s="528" t="s">
        <v>1615</v>
      </c>
      <c r="B88" s="195">
        <v>44500</v>
      </c>
      <c r="C88" s="206" t="s">
        <v>1616</v>
      </c>
      <c r="D88" s="184" t="s">
        <v>257</v>
      </c>
      <c r="E88" s="196" t="s">
        <v>1617</v>
      </c>
      <c r="F88" s="326" t="s">
        <v>1559</v>
      </c>
      <c r="G88" s="198">
        <v>11215</v>
      </c>
      <c r="H88" s="192" t="s">
        <v>2051</v>
      </c>
      <c r="I88" s="191" t="s">
        <v>1925</v>
      </c>
    </row>
    <row r="89" spans="1:9" ht="45.75" customHeight="1">
      <c r="A89" s="528" t="s">
        <v>1901</v>
      </c>
      <c r="B89" s="195">
        <v>45044</v>
      </c>
      <c r="C89" s="206" t="s">
        <v>1879</v>
      </c>
      <c r="D89" s="184" t="s">
        <v>1850</v>
      </c>
      <c r="E89" s="196" t="s">
        <v>1897</v>
      </c>
      <c r="F89" s="326" t="s">
        <v>1984</v>
      </c>
      <c r="G89" s="198">
        <v>16500</v>
      </c>
      <c r="H89" s="192" t="s">
        <v>2052</v>
      </c>
      <c r="I89" s="191" t="s">
        <v>1925</v>
      </c>
    </row>
    <row r="90" spans="1:9" ht="45.75" customHeight="1">
      <c r="A90" s="528" t="s">
        <v>1586</v>
      </c>
      <c r="B90" s="195">
        <v>44480</v>
      </c>
      <c r="C90" s="213" t="s">
        <v>1551</v>
      </c>
      <c r="D90" s="184" t="s">
        <v>257</v>
      </c>
      <c r="E90" s="196" t="s">
        <v>1560</v>
      </c>
      <c r="F90" s="326" t="s">
        <v>1559</v>
      </c>
      <c r="G90" s="198">
        <v>11215</v>
      </c>
      <c r="H90" s="192" t="s">
        <v>2028</v>
      </c>
      <c r="I90" s="191" t="s">
        <v>1925</v>
      </c>
    </row>
    <row r="91" spans="1:9" ht="45.75" customHeight="1">
      <c r="A91" s="526" t="s">
        <v>1158</v>
      </c>
      <c r="B91" s="195">
        <v>43760</v>
      </c>
      <c r="C91" s="191" t="s">
        <v>1159</v>
      </c>
      <c r="D91" s="184" t="s">
        <v>2098</v>
      </c>
      <c r="E91" s="196" t="s">
        <v>1145</v>
      </c>
      <c r="F91" s="197" t="s">
        <v>544</v>
      </c>
      <c r="G91" s="198">
        <v>21300</v>
      </c>
      <c r="H91" s="192" t="s">
        <v>2084</v>
      </c>
      <c r="I91" s="191" t="s">
        <v>2029</v>
      </c>
    </row>
    <row r="92" spans="1:9" ht="45.75" customHeight="1">
      <c r="A92" s="525" t="s">
        <v>2026</v>
      </c>
      <c r="B92" s="400">
        <v>45237</v>
      </c>
      <c r="C92" s="247" t="s">
        <v>1974</v>
      </c>
      <c r="D92" s="434" t="s">
        <v>1975</v>
      </c>
      <c r="E92" s="402" t="s">
        <v>2023</v>
      </c>
      <c r="F92" s="435" t="s">
        <v>1983</v>
      </c>
      <c r="G92" s="436">
        <v>22300</v>
      </c>
      <c r="H92" s="192" t="s">
        <v>2085</v>
      </c>
      <c r="I92" s="191" t="s">
        <v>2029</v>
      </c>
    </row>
    <row r="93" spans="1:9" ht="45.75" customHeight="1">
      <c r="A93" s="525" t="s">
        <v>1982</v>
      </c>
      <c r="B93" s="400">
        <v>45219</v>
      </c>
      <c r="C93" s="247" t="s">
        <v>1974</v>
      </c>
      <c r="D93" s="434" t="s">
        <v>1850</v>
      </c>
      <c r="E93" s="402" t="s">
        <v>1990</v>
      </c>
      <c r="F93" s="435" t="s">
        <v>1984</v>
      </c>
      <c r="G93" s="436">
        <v>16500</v>
      </c>
      <c r="H93" s="192" t="s">
        <v>2097</v>
      </c>
      <c r="I93" s="191" t="s">
        <v>2029</v>
      </c>
    </row>
    <row r="94" spans="1:9" ht="45.75" customHeight="1">
      <c r="A94" s="524" t="s">
        <v>1640</v>
      </c>
      <c r="B94" s="195">
        <v>44538</v>
      </c>
      <c r="C94" s="214" t="s">
        <v>1641</v>
      </c>
      <c r="D94" s="184" t="s">
        <v>1850</v>
      </c>
      <c r="E94" s="196" t="s">
        <v>1864</v>
      </c>
      <c r="F94" s="326" t="s">
        <v>1559</v>
      </c>
      <c r="G94" s="198">
        <v>11215</v>
      </c>
      <c r="H94" s="192" t="s">
        <v>2073</v>
      </c>
      <c r="I94" s="191" t="s">
        <v>2029</v>
      </c>
    </row>
    <row r="95" spans="1:9" ht="45.75" customHeight="1">
      <c r="A95" s="526" t="s">
        <v>1037</v>
      </c>
      <c r="B95" s="195">
        <v>43664</v>
      </c>
      <c r="C95" s="191" t="s">
        <v>906</v>
      </c>
      <c r="D95" s="184" t="s">
        <v>2098</v>
      </c>
      <c r="E95" s="196" t="s">
        <v>878</v>
      </c>
      <c r="F95" s="197" t="s">
        <v>544</v>
      </c>
      <c r="G95" s="198">
        <v>24100</v>
      </c>
      <c r="H95" s="192" t="s">
        <v>2280</v>
      </c>
      <c r="I95" s="191" t="s">
        <v>2029</v>
      </c>
    </row>
    <row r="96" spans="1:9" ht="45.75" customHeight="1">
      <c r="A96" s="525" t="s">
        <v>2099</v>
      </c>
      <c r="B96" s="400">
        <v>45366</v>
      </c>
      <c r="C96" s="247" t="s">
        <v>2086</v>
      </c>
      <c r="D96" s="434" t="s">
        <v>1975</v>
      </c>
      <c r="E96" s="402" t="s">
        <v>2088</v>
      </c>
      <c r="F96" s="435" t="s">
        <v>1983</v>
      </c>
      <c r="G96" s="436">
        <v>22300</v>
      </c>
      <c r="H96" s="192" t="s">
        <v>2279</v>
      </c>
      <c r="I96" s="191" t="s">
        <v>2029</v>
      </c>
    </row>
    <row r="97" spans="1:9" ht="45.75" customHeight="1">
      <c r="A97" s="525" t="s">
        <v>2099</v>
      </c>
      <c r="B97" s="400">
        <v>45366</v>
      </c>
      <c r="C97" s="247" t="s">
        <v>2086</v>
      </c>
      <c r="D97" s="434" t="s">
        <v>1975</v>
      </c>
      <c r="E97" s="402" t="s">
        <v>2090</v>
      </c>
      <c r="F97" s="435" t="s">
        <v>1983</v>
      </c>
      <c r="G97" s="436">
        <v>22300</v>
      </c>
      <c r="H97" s="192" t="s">
        <v>2283</v>
      </c>
      <c r="I97" s="191" t="s">
        <v>2029</v>
      </c>
    </row>
    <row r="98" spans="1:9" ht="45.75" customHeight="1">
      <c r="A98" s="529" t="s">
        <v>542</v>
      </c>
      <c r="B98" s="195">
        <v>43465</v>
      </c>
      <c r="C98" s="191" t="s">
        <v>543</v>
      </c>
      <c r="D98" s="184" t="s">
        <v>2098</v>
      </c>
      <c r="E98" s="196" t="s">
        <v>526</v>
      </c>
      <c r="F98" s="197" t="s">
        <v>544</v>
      </c>
      <c r="G98" s="198">
        <v>24100</v>
      </c>
      <c r="H98" s="192" t="s">
        <v>2287</v>
      </c>
      <c r="I98" s="191" t="s">
        <v>2029</v>
      </c>
    </row>
    <row r="99" spans="1:9" ht="45.75" customHeight="1">
      <c r="A99" s="525" t="s">
        <v>2181</v>
      </c>
      <c r="B99" s="400">
        <v>45420</v>
      </c>
      <c r="C99" s="247" t="s">
        <v>2125</v>
      </c>
      <c r="D99" s="434" t="s">
        <v>1975</v>
      </c>
      <c r="E99" s="402" t="s">
        <v>2123</v>
      </c>
      <c r="F99" s="435" t="s">
        <v>1983</v>
      </c>
      <c r="G99" s="436">
        <v>22300</v>
      </c>
      <c r="H99" s="192" t="s">
        <v>2290</v>
      </c>
      <c r="I99" s="191" t="s">
        <v>2029</v>
      </c>
    </row>
    <row r="100" spans="1:9" ht="45.75" customHeight="1">
      <c r="A100" s="526" t="s">
        <v>1037</v>
      </c>
      <c r="B100" s="195">
        <v>43664</v>
      </c>
      <c r="C100" s="191" t="s">
        <v>906</v>
      </c>
      <c r="D100" s="184" t="s">
        <v>2098</v>
      </c>
      <c r="E100" s="196" t="s">
        <v>886</v>
      </c>
      <c r="F100" s="197" t="s">
        <v>544</v>
      </c>
      <c r="G100" s="198">
        <v>24100</v>
      </c>
      <c r="H100" s="192" t="s">
        <v>2248</v>
      </c>
      <c r="I100" s="191" t="s">
        <v>1962</v>
      </c>
    </row>
    <row r="101" spans="1:9" ht="45.75" customHeight="1">
      <c r="A101" s="526" t="s">
        <v>1429</v>
      </c>
      <c r="B101" s="195">
        <v>44265</v>
      </c>
      <c r="C101" s="191" t="s">
        <v>1418</v>
      </c>
      <c r="D101" s="184" t="s">
        <v>2098</v>
      </c>
      <c r="E101" s="196" t="s">
        <v>1424</v>
      </c>
      <c r="F101" s="197" t="s">
        <v>1430</v>
      </c>
      <c r="G101" s="198">
        <v>14500</v>
      </c>
      <c r="H101" s="192" t="s">
        <v>1968</v>
      </c>
      <c r="I101" s="191" t="s">
        <v>1962</v>
      </c>
    </row>
    <row r="102" spans="1:9" ht="45.75" customHeight="1">
      <c r="A102" s="529" t="s">
        <v>542</v>
      </c>
      <c r="B102" s="195">
        <v>43465</v>
      </c>
      <c r="C102" s="191" t="s">
        <v>543</v>
      </c>
      <c r="D102" s="184" t="s">
        <v>2098</v>
      </c>
      <c r="E102" s="204" t="s">
        <v>528</v>
      </c>
      <c r="F102" s="197" t="s">
        <v>544</v>
      </c>
      <c r="G102" s="198">
        <v>24100</v>
      </c>
      <c r="H102" s="192" t="s">
        <v>1961</v>
      </c>
      <c r="I102" s="191" t="s">
        <v>1962</v>
      </c>
    </row>
    <row r="103" spans="1:9" ht="45.75" customHeight="1">
      <c r="A103" s="526" t="s">
        <v>307</v>
      </c>
      <c r="B103" s="195">
        <v>41277</v>
      </c>
      <c r="C103" s="191" t="s">
        <v>308</v>
      </c>
      <c r="D103" s="184" t="s">
        <v>39</v>
      </c>
      <c r="E103" s="196" t="s">
        <v>103</v>
      </c>
      <c r="F103" s="197" t="s">
        <v>547</v>
      </c>
      <c r="G103" s="198">
        <v>26250</v>
      </c>
      <c r="H103" s="192" t="s">
        <v>1972</v>
      </c>
      <c r="I103" s="191" t="s">
        <v>1962</v>
      </c>
    </row>
    <row r="104" spans="1:9" ht="45.75" customHeight="1">
      <c r="A104" s="529" t="s">
        <v>292</v>
      </c>
      <c r="B104" s="195">
        <v>40791</v>
      </c>
      <c r="C104" s="183" t="s">
        <v>293</v>
      </c>
      <c r="D104" s="184" t="s">
        <v>39</v>
      </c>
      <c r="E104" s="196" t="s">
        <v>47</v>
      </c>
      <c r="F104" s="197" t="s">
        <v>547</v>
      </c>
      <c r="G104" s="198">
        <v>26250</v>
      </c>
      <c r="H104" s="192" t="s">
        <v>2136</v>
      </c>
      <c r="I104" s="191" t="s">
        <v>1962</v>
      </c>
    </row>
    <row r="105" spans="1:9" ht="45.75" customHeight="1">
      <c r="A105" s="525" t="s">
        <v>2180</v>
      </c>
      <c r="B105" s="400">
        <v>45391</v>
      </c>
      <c r="C105" s="247" t="s">
        <v>2125</v>
      </c>
      <c r="D105" s="434" t="s">
        <v>1975</v>
      </c>
      <c r="E105" s="402" t="s">
        <v>2117</v>
      </c>
      <c r="F105" s="435" t="s">
        <v>1983</v>
      </c>
      <c r="G105" s="436">
        <v>22300</v>
      </c>
      <c r="H105" s="192" t="s">
        <v>2172</v>
      </c>
      <c r="I105" s="191" t="s">
        <v>1962</v>
      </c>
    </row>
    <row r="106" spans="1:9" ht="45.75" customHeight="1">
      <c r="A106" s="530" t="s">
        <v>751</v>
      </c>
      <c r="B106" s="195">
        <v>41677</v>
      </c>
      <c r="C106" s="191" t="s">
        <v>752</v>
      </c>
      <c r="D106" s="184" t="s">
        <v>2109</v>
      </c>
      <c r="E106" s="196" t="s">
        <v>195</v>
      </c>
      <c r="F106" s="212" t="s">
        <v>194</v>
      </c>
      <c r="G106" s="207">
        <v>15890</v>
      </c>
      <c r="H106" s="192" t="s">
        <v>2173</v>
      </c>
      <c r="I106" s="191" t="s">
        <v>1962</v>
      </c>
    </row>
    <row r="107" spans="1:9" ht="45.75" customHeight="1">
      <c r="A107" s="531" t="s">
        <v>1586</v>
      </c>
      <c r="B107" s="195">
        <v>44480</v>
      </c>
      <c r="C107" s="213" t="s">
        <v>1551</v>
      </c>
      <c r="D107" s="184" t="s">
        <v>1975</v>
      </c>
      <c r="E107" s="196" t="s">
        <v>1557</v>
      </c>
      <c r="F107" s="326" t="s">
        <v>1554</v>
      </c>
      <c r="G107" s="198">
        <v>21500</v>
      </c>
      <c r="H107" s="192" t="s">
        <v>2245</v>
      </c>
      <c r="I107" s="191" t="s">
        <v>1962</v>
      </c>
    </row>
    <row r="108" spans="1:9" ht="45.75" customHeight="1">
      <c r="A108" s="525" t="s">
        <v>2100</v>
      </c>
      <c r="B108" s="400">
        <v>45366</v>
      </c>
      <c r="C108" s="247" t="s">
        <v>2086</v>
      </c>
      <c r="D108" s="434" t="s">
        <v>1975</v>
      </c>
      <c r="E108" s="402" t="s">
        <v>2092</v>
      </c>
      <c r="F108" s="435" t="s">
        <v>1983</v>
      </c>
      <c r="G108" s="436">
        <v>22300</v>
      </c>
      <c r="H108" s="192" t="s">
        <v>2270</v>
      </c>
      <c r="I108" s="191" t="s">
        <v>1962</v>
      </c>
    </row>
    <row r="109" spans="1:9" ht="45.75" customHeight="1">
      <c r="A109" s="526" t="s">
        <v>1037</v>
      </c>
      <c r="B109" s="195">
        <v>43664</v>
      </c>
      <c r="C109" s="191" t="s">
        <v>906</v>
      </c>
      <c r="D109" s="184" t="s">
        <v>2098</v>
      </c>
      <c r="E109" s="196" t="s">
        <v>880</v>
      </c>
      <c r="F109" s="197" t="s">
        <v>544</v>
      </c>
      <c r="G109" s="198">
        <v>24100</v>
      </c>
      <c r="H109" s="192" t="s">
        <v>1969</v>
      </c>
      <c r="I109" s="191" t="s">
        <v>2191</v>
      </c>
    </row>
    <row r="110" spans="1:9" ht="45.75" customHeight="1">
      <c r="A110" s="526" t="s">
        <v>1208</v>
      </c>
      <c r="B110" s="195">
        <v>43826</v>
      </c>
      <c r="C110" s="191" t="s">
        <v>1206</v>
      </c>
      <c r="D110" s="184" t="s">
        <v>2098</v>
      </c>
      <c r="E110" s="196" t="s">
        <v>1211</v>
      </c>
      <c r="F110" s="197" t="s">
        <v>544</v>
      </c>
      <c r="G110" s="198">
        <v>21300</v>
      </c>
      <c r="H110" s="192" t="s">
        <v>1970</v>
      </c>
      <c r="I110" s="191" t="s">
        <v>2191</v>
      </c>
    </row>
    <row r="111" spans="1:9" ht="45.75" customHeight="1">
      <c r="A111" s="525" t="s">
        <v>1900</v>
      </c>
      <c r="B111" s="400">
        <v>45044</v>
      </c>
      <c r="C111" s="247" t="s">
        <v>1879</v>
      </c>
      <c r="D111" s="401" t="s">
        <v>1880</v>
      </c>
      <c r="E111" s="402" t="s">
        <v>1886</v>
      </c>
      <c r="F111" s="403" t="s">
        <v>1882</v>
      </c>
      <c r="G111" s="405">
        <v>22300</v>
      </c>
      <c r="H111" s="192" t="s">
        <v>1971</v>
      </c>
      <c r="I111" s="191" t="s">
        <v>2191</v>
      </c>
    </row>
    <row r="112" spans="1:9" ht="45.75" customHeight="1">
      <c r="A112" s="526" t="s">
        <v>542</v>
      </c>
      <c r="B112" s="195">
        <v>43465</v>
      </c>
      <c r="C112" s="191" t="s">
        <v>543</v>
      </c>
      <c r="D112" s="184" t="s">
        <v>2098</v>
      </c>
      <c r="E112" s="204" t="s">
        <v>532</v>
      </c>
      <c r="F112" s="197" t="s">
        <v>544</v>
      </c>
      <c r="G112" s="198">
        <v>24100</v>
      </c>
      <c r="H112" s="192" t="s">
        <v>2244</v>
      </c>
      <c r="I112" s="191" t="s">
        <v>2191</v>
      </c>
    </row>
    <row r="113" spans="1:9" ht="45.75" customHeight="1">
      <c r="A113" s="526" t="s">
        <v>1038</v>
      </c>
      <c r="B113" s="195">
        <v>43668</v>
      </c>
      <c r="C113" s="191" t="s">
        <v>906</v>
      </c>
      <c r="D113" s="184" t="s">
        <v>2098</v>
      </c>
      <c r="E113" s="196" t="s">
        <v>1185</v>
      </c>
      <c r="F113" s="197" t="s">
        <v>544</v>
      </c>
      <c r="G113" s="198">
        <v>24100</v>
      </c>
      <c r="H113" s="192" t="s">
        <v>2264</v>
      </c>
      <c r="I113" s="191" t="s">
        <v>2263</v>
      </c>
    </row>
    <row r="114" spans="1:9" ht="45.75" customHeight="1">
      <c r="A114" s="525" t="s">
        <v>2026</v>
      </c>
      <c r="B114" s="400">
        <v>45237</v>
      </c>
      <c r="C114" s="247" t="s">
        <v>1974</v>
      </c>
      <c r="D114" s="434" t="s">
        <v>1975</v>
      </c>
      <c r="E114" s="402" t="s">
        <v>2020</v>
      </c>
      <c r="F114" s="435" t="s">
        <v>1983</v>
      </c>
      <c r="G114" s="436">
        <v>22300</v>
      </c>
      <c r="H114" s="192" t="s">
        <v>2027</v>
      </c>
      <c r="I114" s="191" t="s">
        <v>1998</v>
      </c>
    </row>
    <row r="115" spans="1:9" ht="45.75" customHeight="1">
      <c r="A115" s="526" t="s">
        <v>1483</v>
      </c>
      <c r="B115" s="195">
        <v>44266</v>
      </c>
      <c r="C115" s="191" t="s">
        <v>1482</v>
      </c>
      <c r="D115" s="184" t="s">
        <v>2098</v>
      </c>
      <c r="E115" s="196" t="s">
        <v>1403</v>
      </c>
      <c r="F115" s="197" t="s">
        <v>1409</v>
      </c>
      <c r="G115" s="198">
        <v>21300</v>
      </c>
      <c r="H115" s="192" t="s">
        <v>2017</v>
      </c>
      <c r="I115" s="191" t="s">
        <v>1998</v>
      </c>
    </row>
    <row r="116" spans="1:9" ht="45.75" customHeight="1">
      <c r="A116" s="525" t="s">
        <v>1973</v>
      </c>
      <c r="B116" s="400">
        <v>45212</v>
      </c>
      <c r="C116" s="247" t="s">
        <v>1974</v>
      </c>
      <c r="D116" s="434" t="s">
        <v>1975</v>
      </c>
      <c r="E116" s="402" t="s">
        <v>1981</v>
      </c>
      <c r="F116" s="435" t="s">
        <v>1983</v>
      </c>
      <c r="G116" s="436">
        <v>22300</v>
      </c>
      <c r="H116" s="192" t="s">
        <v>2011</v>
      </c>
      <c r="I116" s="191" t="s">
        <v>1998</v>
      </c>
    </row>
    <row r="117" spans="1:9" ht="45.75" customHeight="1">
      <c r="A117" s="526" t="s">
        <v>1399</v>
      </c>
      <c r="B117" s="195">
        <v>44202</v>
      </c>
      <c r="C117" s="191" t="s">
        <v>1400</v>
      </c>
      <c r="D117" s="184" t="s">
        <v>2098</v>
      </c>
      <c r="E117" s="196" t="s">
        <v>1315</v>
      </c>
      <c r="F117" s="197" t="s">
        <v>544</v>
      </c>
      <c r="G117" s="198">
        <v>21300</v>
      </c>
      <c r="H117" s="192" t="s">
        <v>2010</v>
      </c>
      <c r="I117" s="191" t="s">
        <v>1998</v>
      </c>
    </row>
    <row r="118" spans="1:9" ht="45.75" customHeight="1">
      <c r="A118" s="525" t="s">
        <v>1973</v>
      </c>
      <c r="B118" s="400">
        <v>45212</v>
      </c>
      <c r="C118" s="247" t="s">
        <v>1974</v>
      </c>
      <c r="D118" s="434" t="s">
        <v>1975</v>
      </c>
      <c r="E118" s="402" t="s">
        <v>1979</v>
      </c>
      <c r="F118" s="435" t="s">
        <v>1983</v>
      </c>
      <c r="G118" s="436">
        <v>22300</v>
      </c>
      <c r="H118" s="192" t="s">
        <v>2009</v>
      </c>
      <c r="I118" s="191" t="s">
        <v>1998</v>
      </c>
    </row>
    <row r="119" spans="1:9" ht="45.75" customHeight="1">
      <c r="A119" s="526" t="s">
        <v>1399</v>
      </c>
      <c r="B119" s="195">
        <v>44202</v>
      </c>
      <c r="C119" s="191" t="s">
        <v>1400</v>
      </c>
      <c r="D119" s="184" t="s">
        <v>2098</v>
      </c>
      <c r="E119" s="196" t="s">
        <v>1358</v>
      </c>
      <c r="F119" s="197" t="s">
        <v>544</v>
      </c>
      <c r="G119" s="198">
        <v>21300</v>
      </c>
      <c r="H119" s="192" t="s">
        <v>2060</v>
      </c>
      <c r="I119" s="206" t="s">
        <v>1998</v>
      </c>
    </row>
    <row r="120" spans="1:9" ht="45.75" customHeight="1">
      <c r="A120" s="526" t="s">
        <v>1483</v>
      </c>
      <c r="B120" s="195">
        <v>44266</v>
      </c>
      <c r="C120" s="191" t="s">
        <v>1482</v>
      </c>
      <c r="D120" s="184" t="s">
        <v>2098</v>
      </c>
      <c r="E120" s="196" t="s">
        <v>1404</v>
      </c>
      <c r="F120" s="197" t="s">
        <v>1409</v>
      </c>
      <c r="G120" s="198">
        <v>21300</v>
      </c>
      <c r="H120" s="192" t="s">
        <v>2061</v>
      </c>
      <c r="I120" s="206" t="s">
        <v>1998</v>
      </c>
    </row>
    <row r="121" spans="1:9" ht="45.75" customHeight="1">
      <c r="A121" s="525" t="s">
        <v>1973</v>
      </c>
      <c r="B121" s="400">
        <v>45212</v>
      </c>
      <c r="C121" s="247" t="s">
        <v>1974</v>
      </c>
      <c r="D121" s="434" t="s">
        <v>1975</v>
      </c>
      <c r="E121" s="402" t="s">
        <v>1978</v>
      </c>
      <c r="F121" s="435" t="s">
        <v>1983</v>
      </c>
      <c r="G121" s="436">
        <v>22300</v>
      </c>
      <c r="H121" s="192" t="s">
        <v>1995</v>
      </c>
      <c r="I121" s="191" t="s">
        <v>1998</v>
      </c>
    </row>
    <row r="122" spans="1:9" ht="45.75" customHeight="1">
      <c r="A122" s="525" t="s">
        <v>1973</v>
      </c>
      <c r="B122" s="400">
        <v>45212</v>
      </c>
      <c r="C122" s="247" t="s">
        <v>1974</v>
      </c>
      <c r="D122" s="434" t="s">
        <v>1975</v>
      </c>
      <c r="E122" s="402" t="s">
        <v>1980</v>
      </c>
      <c r="F122" s="435" t="s">
        <v>1983</v>
      </c>
      <c r="G122" s="436">
        <v>22300</v>
      </c>
      <c r="H122" s="192" t="s">
        <v>1996</v>
      </c>
      <c r="I122" s="191" t="s">
        <v>1998</v>
      </c>
    </row>
    <row r="123" spans="1:9" ht="45.75" customHeight="1">
      <c r="A123" s="525" t="s">
        <v>1973</v>
      </c>
      <c r="B123" s="400">
        <v>45212</v>
      </c>
      <c r="C123" s="247" t="s">
        <v>1974</v>
      </c>
      <c r="D123" s="434" t="s">
        <v>1975</v>
      </c>
      <c r="E123" s="402" t="s">
        <v>1976</v>
      </c>
      <c r="F123" s="435" t="s">
        <v>1983</v>
      </c>
      <c r="G123" s="436">
        <v>22300</v>
      </c>
      <c r="H123" s="192" t="s">
        <v>1997</v>
      </c>
      <c r="I123" s="191" t="s">
        <v>1998</v>
      </c>
    </row>
    <row r="124" spans="1:9" ht="45.75" customHeight="1">
      <c r="A124" s="526" t="s">
        <v>1038</v>
      </c>
      <c r="B124" s="195">
        <v>43668</v>
      </c>
      <c r="C124" s="191" t="s">
        <v>906</v>
      </c>
      <c r="D124" s="184" t="s">
        <v>2098</v>
      </c>
      <c r="E124" s="196" t="s">
        <v>1028</v>
      </c>
      <c r="F124" s="197" t="s">
        <v>544</v>
      </c>
      <c r="G124" s="198">
        <v>24100</v>
      </c>
      <c r="H124" s="192" t="s">
        <v>2203</v>
      </c>
      <c r="I124" s="191" t="s">
        <v>2202</v>
      </c>
    </row>
    <row r="125" spans="1:9" ht="45.75" customHeight="1">
      <c r="A125" s="529" t="s">
        <v>542</v>
      </c>
      <c r="B125" s="195">
        <v>43465</v>
      </c>
      <c r="C125" s="191" t="s">
        <v>543</v>
      </c>
      <c r="D125" s="184" t="s">
        <v>2098</v>
      </c>
      <c r="E125" s="204" t="s">
        <v>536</v>
      </c>
      <c r="F125" s="197" t="s">
        <v>544</v>
      </c>
      <c r="G125" s="198">
        <v>24100</v>
      </c>
      <c r="H125" s="192" t="s">
        <v>1965</v>
      </c>
      <c r="I125" s="191" t="s">
        <v>1950</v>
      </c>
    </row>
    <row r="126" spans="1:9" ht="45.75" customHeight="1">
      <c r="A126" s="526" t="s">
        <v>1429</v>
      </c>
      <c r="B126" s="195">
        <v>44265</v>
      </c>
      <c r="C126" s="191" t="s">
        <v>1418</v>
      </c>
      <c r="D126" s="184" t="s">
        <v>2098</v>
      </c>
      <c r="E126" s="196" t="s">
        <v>1428</v>
      </c>
      <c r="F126" s="197" t="s">
        <v>1430</v>
      </c>
      <c r="G126" s="198">
        <v>14500</v>
      </c>
      <c r="H126" s="192" t="s">
        <v>1966</v>
      </c>
      <c r="I126" s="191" t="s">
        <v>1950</v>
      </c>
    </row>
    <row r="127" spans="1:9" ht="45.75" customHeight="1">
      <c r="A127" s="526" t="s">
        <v>1399</v>
      </c>
      <c r="B127" s="195">
        <v>44202</v>
      </c>
      <c r="C127" s="191" t="s">
        <v>1400</v>
      </c>
      <c r="D127" s="184" t="s">
        <v>2098</v>
      </c>
      <c r="E127" s="196" t="s">
        <v>1357</v>
      </c>
      <c r="F127" s="197" t="s">
        <v>544</v>
      </c>
      <c r="G127" s="198">
        <v>21300</v>
      </c>
      <c r="H127" s="192" t="s">
        <v>1967</v>
      </c>
      <c r="I127" s="191" t="s">
        <v>1950</v>
      </c>
    </row>
    <row r="128" spans="1:9" ht="45.75" customHeight="1">
      <c r="A128" s="526" t="s">
        <v>1231</v>
      </c>
      <c r="B128" s="195">
        <v>43837</v>
      </c>
      <c r="C128" s="191" t="s">
        <v>1232</v>
      </c>
      <c r="D128" s="184" t="s">
        <v>2098</v>
      </c>
      <c r="E128" s="196" t="s">
        <v>1226</v>
      </c>
      <c r="F128" s="197" t="s">
        <v>544</v>
      </c>
      <c r="G128" s="198">
        <v>21300</v>
      </c>
      <c r="H128" s="192" t="s">
        <v>2030</v>
      </c>
      <c r="I128" s="191" t="s">
        <v>1950</v>
      </c>
    </row>
    <row r="129" spans="1:9" ht="45.75" customHeight="1">
      <c r="A129" s="526" t="s">
        <v>1037</v>
      </c>
      <c r="B129" s="195">
        <v>43664</v>
      </c>
      <c r="C129" s="183" t="s">
        <v>906</v>
      </c>
      <c r="D129" s="184" t="s">
        <v>2098</v>
      </c>
      <c r="E129" s="196" t="s">
        <v>885</v>
      </c>
      <c r="F129" s="197" t="s">
        <v>544</v>
      </c>
      <c r="G129" s="198">
        <v>24100</v>
      </c>
      <c r="H129" s="192" t="s">
        <v>1964</v>
      </c>
      <c r="I129" s="191" t="s">
        <v>1950</v>
      </c>
    </row>
    <row r="130" spans="1:9" ht="45.75" customHeight="1">
      <c r="A130" s="526" t="s">
        <v>1399</v>
      </c>
      <c r="B130" s="195">
        <v>44202</v>
      </c>
      <c r="C130" s="191" t="s">
        <v>1400</v>
      </c>
      <c r="D130" s="184" t="s">
        <v>2098</v>
      </c>
      <c r="E130" s="196" t="s">
        <v>1364</v>
      </c>
      <c r="F130" s="197" t="s">
        <v>544</v>
      </c>
      <c r="G130" s="198">
        <v>21300</v>
      </c>
      <c r="H130" s="192" t="s">
        <v>1958</v>
      </c>
      <c r="I130" s="191" t="s">
        <v>1950</v>
      </c>
    </row>
    <row r="131" spans="1:9" ht="45.75" customHeight="1">
      <c r="A131" s="524" t="s">
        <v>1647</v>
      </c>
      <c r="B131" s="195">
        <v>44564</v>
      </c>
      <c r="C131" s="214" t="s">
        <v>1648</v>
      </c>
      <c r="D131" s="184" t="s">
        <v>2352</v>
      </c>
      <c r="E131" s="196" t="s">
        <v>1654</v>
      </c>
      <c r="F131" s="326" t="s">
        <v>1554</v>
      </c>
      <c r="G131" s="198">
        <v>21500</v>
      </c>
      <c r="H131" s="192" t="s">
        <v>1959</v>
      </c>
      <c r="I131" s="191" t="s">
        <v>1950</v>
      </c>
    </row>
    <row r="132" spans="1:9" ht="45.75" customHeight="1">
      <c r="A132" s="526" t="s">
        <v>1429</v>
      </c>
      <c r="B132" s="195">
        <v>44265</v>
      </c>
      <c r="C132" s="191" t="s">
        <v>1418</v>
      </c>
      <c r="D132" s="184" t="s">
        <v>2098</v>
      </c>
      <c r="E132" s="482" t="s">
        <v>1422</v>
      </c>
      <c r="F132" s="197" t="s">
        <v>1430</v>
      </c>
      <c r="G132" s="215">
        <v>14500</v>
      </c>
      <c r="H132" s="192" t="s">
        <v>1960</v>
      </c>
      <c r="I132" s="191" t="s">
        <v>1950</v>
      </c>
    </row>
    <row r="133" spans="1:9" ht="45.75" customHeight="1">
      <c r="A133" s="525" t="s">
        <v>1900</v>
      </c>
      <c r="B133" s="400">
        <v>45044</v>
      </c>
      <c r="C133" s="247" t="s">
        <v>1879</v>
      </c>
      <c r="D133" s="401" t="s">
        <v>1880</v>
      </c>
      <c r="E133" s="402" t="s">
        <v>1887</v>
      </c>
      <c r="F133" s="403" t="s">
        <v>1882</v>
      </c>
      <c r="G133" s="405">
        <v>22300</v>
      </c>
      <c r="H133" s="192" t="s">
        <v>1957</v>
      </c>
      <c r="I133" s="191" t="s">
        <v>1950</v>
      </c>
    </row>
    <row r="134" spans="1:9" ht="45.75" customHeight="1">
      <c r="A134" s="526" t="s">
        <v>1395</v>
      </c>
      <c r="B134" s="195">
        <v>44180</v>
      </c>
      <c r="C134" s="191" t="s">
        <v>1394</v>
      </c>
      <c r="D134" s="184" t="s">
        <v>2098</v>
      </c>
      <c r="E134" s="482" t="s">
        <v>1342</v>
      </c>
      <c r="F134" s="197" t="s">
        <v>544</v>
      </c>
      <c r="G134" s="198">
        <v>21300</v>
      </c>
      <c r="H134" s="192" t="s">
        <v>1955</v>
      </c>
      <c r="I134" s="191" t="s">
        <v>1950</v>
      </c>
    </row>
    <row r="135" spans="1:9" ht="45.75" customHeight="1">
      <c r="A135" s="526" t="s">
        <v>1038</v>
      </c>
      <c r="B135" s="195">
        <v>43668</v>
      </c>
      <c r="C135" s="183" t="s">
        <v>906</v>
      </c>
      <c r="D135" s="184" t="s">
        <v>2098</v>
      </c>
      <c r="E135" s="196" t="s">
        <v>1494</v>
      </c>
      <c r="F135" s="197" t="s">
        <v>544</v>
      </c>
      <c r="G135" s="198">
        <v>24100</v>
      </c>
      <c r="H135" s="192" t="s">
        <v>1956</v>
      </c>
      <c r="I135" s="191" t="s">
        <v>1950</v>
      </c>
    </row>
    <row r="136" spans="1:9" ht="45.75" customHeight="1">
      <c r="A136" s="526" t="s">
        <v>907</v>
      </c>
      <c r="B136" s="195">
        <v>43656</v>
      </c>
      <c r="C136" s="191" t="s">
        <v>906</v>
      </c>
      <c r="D136" s="184" t="s">
        <v>2098</v>
      </c>
      <c r="E136" s="196" t="s">
        <v>822</v>
      </c>
      <c r="F136" s="197" t="s">
        <v>544</v>
      </c>
      <c r="G136" s="198">
        <v>24100</v>
      </c>
      <c r="H136" s="192" t="s">
        <v>2031</v>
      </c>
      <c r="I136" s="191" t="s">
        <v>1950</v>
      </c>
    </row>
    <row r="137" spans="1:9" ht="45.75" customHeight="1">
      <c r="A137" s="526" t="s">
        <v>1399</v>
      </c>
      <c r="B137" s="195">
        <v>44202</v>
      </c>
      <c r="C137" s="191" t="s">
        <v>1400</v>
      </c>
      <c r="D137" s="184" t="s">
        <v>2098</v>
      </c>
      <c r="E137" s="196" t="s">
        <v>1368</v>
      </c>
      <c r="F137" s="197" t="s">
        <v>544</v>
      </c>
      <c r="G137" s="198">
        <v>21300</v>
      </c>
      <c r="H137" s="192" t="s">
        <v>2032</v>
      </c>
      <c r="I137" s="191" t="s">
        <v>1950</v>
      </c>
    </row>
    <row r="138" spans="1:9" ht="45.75" customHeight="1">
      <c r="A138" s="527" t="s">
        <v>1177</v>
      </c>
      <c r="B138" s="201">
        <v>43735</v>
      </c>
      <c r="C138" s="183" t="s">
        <v>1176</v>
      </c>
      <c r="D138" s="184" t="s">
        <v>2098</v>
      </c>
      <c r="E138" s="196" t="s">
        <v>1128</v>
      </c>
      <c r="F138" s="197" t="s">
        <v>544</v>
      </c>
      <c r="G138" s="198">
        <v>21300</v>
      </c>
      <c r="H138" s="192" t="s">
        <v>2033</v>
      </c>
      <c r="I138" s="191" t="s">
        <v>1950</v>
      </c>
    </row>
    <row r="139" spans="1:9" ht="45.75" customHeight="1">
      <c r="A139" s="525" t="s">
        <v>2100</v>
      </c>
      <c r="B139" s="400">
        <v>45366</v>
      </c>
      <c r="C139" s="247" t="s">
        <v>2086</v>
      </c>
      <c r="D139" s="434" t="s">
        <v>1975</v>
      </c>
      <c r="E139" s="402" t="s">
        <v>2096</v>
      </c>
      <c r="F139" s="435" t="s">
        <v>1983</v>
      </c>
      <c r="G139" s="436">
        <v>22300</v>
      </c>
      <c r="H139" s="192" t="s">
        <v>2070</v>
      </c>
      <c r="I139" s="191" t="s">
        <v>1950</v>
      </c>
    </row>
    <row r="140" spans="1:9" ht="45.75" customHeight="1">
      <c r="A140" s="526" t="s">
        <v>907</v>
      </c>
      <c r="B140" s="195">
        <v>43656</v>
      </c>
      <c r="C140" s="183" t="s">
        <v>906</v>
      </c>
      <c r="D140" s="184" t="s">
        <v>2098</v>
      </c>
      <c r="E140" s="196" t="s">
        <v>818</v>
      </c>
      <c r="F140" s="197" t="s">
        <v>544</v>
      </c>
      <c r="G140" s="198">
        <v>24100</v>
      </c>
      <c r="H140" s="192" t="s">
        <v>2034</v>
      </c>
      <c r="I140" s="191" t="s">
        <v>1950</v>
      </c>
    </row>
    <row r="141" spans="1:9" ht="45.75" customHeight="1">
      <c r="A141" s="526" t="s">
        <v>1197</v>
      </c>
      <c r="B141" s="195">
        <v>43794</v>
      </c>
      <c r="C141" s="191" t="s">
        <v>1187</v>
      </c>
      <c r="D141" s="184" t="s">
        <v>2098</v>
      </c>
      <c r="E141" s="196" t="s">
        <v>1184</v>
      </c>
      <c r="F141" s="197" t="s">
        <v>544</v>
      </c>
      <c r="G141" s="198">
        <v>21300</v>
      </c>
      <c r="H141" s="192" t="s">
        <v>2035</v>
      </c>
      <c r="I141" s="191" t="s">
        <v>1950</v>
      </c>
    </row>
    <row r="142" spans="1:9" ht="45.75" customHeight="1">
      <c r="A142" s="526" t="s">
        <v>1039</v>
      </c>
      <c r="B142" s="195">
        <v>43661</v>
      </c>
      <c r="C142" s="183" t="s">
        <v>906</v>
      </c>
      <c r="D142" s="184" t="s">
        <v>2098</v>
      </c>
      <c r="E142" s="196" t="s">
        <v>862</v>
      </c>
      <c r="F142" s="197" t="s">
        <v>544</v>
      </c>
      <c r="G142" s="198">
        <v>24100</v>
      </c>
      <c r="H142" s="192" t="s">
        <v>2036</v>
      </c>
      <c r="I142" s="191" t="s">
        <v>1950</v>
      </c>
    </row>
    <row r="143" spans="1:9" ht="45.75" customHeight="1">
      <c r="A143" s="526" t="s">
        <v>1039</v>
      </c>
      <c r="B143" s="195">
        <v>43661</v>
      </c>
      <c r="C143" s="191" t="s">
        <v>906</v>
      </c>
      <c r="D143" s="184" t="s">
        <v>2098</v>
      </c>
      <c r="E143" s="196" t="s">
        <v>860</v>
      </c>
      <c r="F143" s="197" t="s">
        <v>544</v>
      </c>
      <c r="G143" s="198">
        <v>24100</v>
      </c>
      <c r="H143" s="192" t="s">
        <v>2037</v>
      </c>
      <c r="I143" s="191" t="s">
        <v>1950</v>
      </c>
    </row>
    <row r="144" spans="1:9" ht="45.75" customHeight="1">
      <c r="A144" s="526" t="s">
        <v>1038</v>
      </c>
      <c r="B144" s="195">
        <v>43668</v>
      </c>
      <c r="C144" s="191" t="s">
        <v>906</v>
      </c>
      <c r="D144" s="184" t="s">
        <v>2098</v>
      </c>
      <c r="E144" s="196" t="s">
        <v>1026</v>
      </c>
      <c r="F144" s="197" t="s">
        <v>544</v>
      </c>
      <c r="G144" s="198">
        <v>24100</v>
      </c>
      <c r="H144" s="192" t="s">
        <v>2038</v>
      </c>
      <c r="I144" s="191" t="s">
        <v>1950</v>
      </c>
    </row>
    <row r="145" spans="1:9" ht="45.75" customHeight="1">
      <c r="A145" s="525" t="s">
        <v>1900</v>
      </c>
      <c r="B145" s="400">
        <v>45044</v>
      </c>
      <c r="C145" s="247" t="s">
        <v>1879</v>
      </c>
      <c r="D145" s="401" t="s">
        <v>1880</v>
      </c>
      <c r="E145" s="402" t="s">
        <v>1884</v>
      </c>
      <c r="F145" s="403" t="s">
        <v>1882</v>
      </c>
      <c r="G145" s="405">
        <v>22300</v>
      </c>
      <c r="H145" s="192" t="s">
        <v>2039</v>
      </c>
      <c r="I145" s="191" t="s">
        <v>1950</v>
      </c>
    </row>
    <row r="146" spans="1:9" ht="45.75" customHeight="1">
      <c r="A146" s="526" t="s">
        <v>1429</v>
      </c>
      <c r="B146" s="195">
        <v>44265</v>
      </c>
      <c r="C146" s="191" t="s">
        <v>1418</v>
      </c>
      <c r="D146" s="184" t="s">
        <v>2098</v>
      </c>
      <c r="E146" s="196" t="s">
        <v>1420</v>
      </c>
      <c r="F146" s="197" t="s">
        <v>1430</v>
      </c>
      <c r="G146" s="198">
        <v>21500</v>
      </c>
      <c r="H146" s="192" t="s">
        <v>2040</v>
      </c>
      <c r="I146" s="191" t="s">
        <v>1950</v>
      </c>
    </row>
    <row r="147" spans="1:9" ht="45.75" customHeight="1">
      <c r="A147" s="526" t="s">
        <v>1197</v>
      </c>
      <c r="B147" s="195">
        <v>43794</v>
      </c>
      <c r="C147" s="191" t="s">
        <v>1187</v>
      </c>
      <c r="D147" s="184" t="s">
        <v>2098</v>
      </c>
      <c r="E147" s="196" t="s">
        <v>1183</v>
      </c>
      <c r="F147" s="197" t="s">
        <v>544</v>
      </c>
      <c r="G147" s="198">
        <v>21300</v>
      </c>
      <c r="H147" s="192" t="s">
        <v>1309</v>
      </c>
      <c r="I147" s="191" t="s">
        <v>1308</v>
      </c>
    </row>
    <row r="148" spans="1:9" ht="45.75" customHeight="1">
      <c r="A148" s="526" t="s">
        <v>1483</v>
      </c>
      <c r="B148" s="195">
        <v>44266</v>
      </c>
      <c r="C148" s="191" t="s">
        <v>1482</v>
      </c>
      <c r="D148" s="184" t="s">
        <v>2098</v>
      </c>
      <c r="E148" s="196" t="s">
        <v>1415</v>
      </c>
      <c r="F148" s="197" t="s">
        <v>1409</v>
      </c>
      <c r="G148" s="198">
        <v>21300</v>
      </c>
      <c r="H148" s="192" t="s">
        <v>1310</v>
      </c>
      <c r="I148" s="191" t="s">
        <v>1308</v>
      </c>
    </row>
    <row r="149" spans="1:9" ht="45.75" customHeight="1">
      <c r="A149" s="525" t="s">
        <v>2111</v>
      </c>
      <c r="B149" s="400">
        <v>45373</v>
      </c>
      <c r="C149" s="247" t="s">
        <v>2086</v>
      </c>
      <c r="D149" s="434" t="s">
        <v>1975</v>
      </c>
      <c r="E149" s="402" t="s">
        <v>2105</v>
      </c>
      <c r="F149" s="435" t="s">
        <v>1983</v>
      </c>
      <c r="G149" s="436">
        <v>22300</v>
      </c>
      <c r="H149" s="192" t="s">
        <v>1311</v>
      </c>
      <c r="I149" s="191" t="s">
        <v>1308</v>
      </c>
    </row>
    <row r="150" spans="1:9" ht="45.75" customHeight="1">
      <c r="A150" s="526" t="s">
        <v>1197</v>
      </c>
      <c r="B150" s="195">
        <v>43794</v>
      </c>
      <c r="C150" s="191" t="s">
        <v>1187</v>
      </c>
      <c r="D150" s="184" t="s">
        <v>2098</v>
      </c>
      <c r="E150" s="196" t="s">
        <v>1180</v>
      </c>
      <c r="F150" s="197" t="s">
        <v>544</v>
      </c>
      <c r="G150" s="198">
        <v>21300</v>
      </c>
      <c r="H150" s="192" t="s">
        <v>1312</v>
      </c>
      <c r="I150" s="191" t="s">
        <v>1308</v>
      </c>
    </row>
    <row r="151" spans="1:9" ht="45.75" customHeight="1">
      <c r="A151" s="526" t="s">
        <v>1038</v>
      </c>
      <c r="B151" s="195">
        <v>43668</v>
      </c>
      <c r="C151" s="191" t="s">
        <v>906</v>
      </c>
      <c r="D151" s="184" t="s">
        <v>2098</v>
      </c>
      <c r="E151" s="196" t="s">
        <v>1029</v>
      </c>
      <c r="F151" s="197" t="s">
        <v>544</v>
      </c>
      <c r="G151" s="198">
        <v>24100</v>
      </c>
      <c r="H151" s="192" t="s">
        <v>1874</v>
      </c>
      <c r="I151" s="191" t="s">
        <v>1873</v>
      </c>
    </row>
    <row r="152" spans="1:9" ht="45.75" customHeight="1">
      <c r="A152" s="526" t="s">
        <v>1438</v>
      </c>
      <c r="B152" s="195">
        <v>44280</v>
      </c>
      <c r="C152" s="191" t="s">
        <v>1439</v>
      </c>
      <c r="D152" s="184" t="s">
        <v>2098</v>
      </c>
      <c r="E152" s="196" t="s">
        <v>1435</v>
      </c>
      <c r="F152" s="197" t="s">
        <v>1430</v>
      </c>
      <c r="G152" s="215">
        <v>14500</v>
      </c>
      <c r="H152" s="192" t="s">
        <v>1872</v>
      </c>
      <c r="I152" s="191" t="s">
        <v>1873</v>
      </c>
    </row>
    <row r="153" spans="1:9" ht="45.75" customHeight="1">
      <c r="A153" s="529" t="s">
        <v>542</v>
      </c>
      <c r="B153" s="195">
        <v>43465</v>
      </c>
      <c r="C153" s="191" t="s">
        <v>543</v>
      </c>
      <c r="D153" s="184" t="s">
        <v>2098</v>
      </c>
      <c r="E153" s="204" t="s">
        <v>534</v>
      </c>
      <c r="F153" s="197" t="s">
        <v>544</v>
      </c>
      <c r="G153" s="198">
        <v>24100</v>
      </c>
      <c r="H153" s="192" t="s">
        <v>2210</v>
      </c>
      <c r="I153" s="191" t="s">
        <v>1873</v>
      </c>
    </row>
    <row r="154" spans="1:9" ht="45.75" customHeight="1">
      <c r="A154" s="526" t="s">
        <v>1395</v>
      </c>
      <c r="B154" s="195">
        <v>44180</v>
      </c>
      <c r="C154" s="191" t="s">
        <v>1394</v>
      </c>
      <c r="D154" s="184" t="s">
        <v>2098</v>
      </c>
      <c r="E154" s="196" t="s">
        <v>1302</v>
      </c>
      <c r="F154" s="197" t="s">
        <v>544</v>
      </c>
      <c r="G154" s="198">
        <v>21300</v>
      </c>
      <c r="H154" s="192" t="s">
        <v>2211</v>
      </c>
      <c r="I154" s="191" t="s">
        <v>1873</v>
      </c>
    </row>
    <row r="155" spans="1:9" ht="45.75" customHeight="1">
      <c r="A155" s="525" t="s">
        <v>2026</v>
      </c>
      <c r="B155" s="400">
        <v>45237</v>
      </c>
      <c r="C155" s="247" t="s">
        <v>1974</v>
      </c>
      <c r="D155" s="434" t="s">
        <v>1975</v>
      </c>
      <c r="E155" s="402" t="s">
        <v>2024</v>
      </c>
      <c r="F155" s="435" t="s">
        <v>1983</v>
      </c>
      <c r="G155" s="436">
        <v>22300</v>
      </c>
      <c r="H155" s="192" t="s">
        <v>2175</v>
      </c>
      <c r="I155" s="191" t="s">
        <v>1873</v>
      </c>
    </row>
    <row r="156" spans="1:9" ht="45.75" customHeight="1">
      <c r="A156" s="526" t="s">
        <v>1481</v>
      </c>
      <c r="B156" s="195">
        <v>44316</v>
      </c>
      <c r="C156" s="191" t="s">
        <v>1480</v>
      </c>
      <c r="D156" s="184" t="s">
        <v>2098</v>
      </c>
      <c r="E156" s="196" t="s">
        <v>1446</v>
      </c>
      <c r="F156" s="197" t="s">
        <v>1430</v>
      </c>
      <c r="G156" s="215">
        <v>14500</v>
      </c>
      <c r="H156" s="192" t="s">
        <v>2176</v>
      </c>
      <c r="I156" s="191" t="s">
        <v>1873</v>
      </c>
    </row>
    <row r="157" spans="1:9" ht="45.75" customHeight="1">
      <c r="A157" s="526" t="s">
        <v>1208</v>
      </c>
      <c r="B157" s="195">
        <v>43826</v>
      </c>
      <c r="C157" s="191" t="s">
        <v>1206</v>
      </c>
      <c r="D157" s="184" t="s">
        <v>2098</v>
      </c>
      <c r="E157" s="196" t="s">
        <v>1220</v>
      </c>
      <c r="F157" s="197" t="s">
        <v>544</v>
      </c>
      <c r="G157" s="198">
        <v>21300</v>
      </c>
      <c r="H157" s="192" t="s">
        <v>1888</v>
      </c>
      <c r="I157" s="191" t="s">
        <v>1876</v>
      </c>
    </row>
    <row r="158" spans="1:9" ht="45.75" customHeight="1">
      <c r="A158" s="525" t="s">
        <v>2178</v>
      </c>
      <c r="B158" s="400">
        <v>45386</v>
      </c>
      <c r="C158" s="247" t="s">
        <v>2086</v>
      </c>
      <c r="D158" s="434" t="s">
        <v>1975</v>
      </c>
      <c r="E158" s="402" t="s">
        <v>2112</v>
      </c>
      <c r="F158" s="435" t="s">
        <v>1983</v>
      </c>
      <c r="G158" s="436">
        <v>22300</v>
      </c>
      <c r="H158" s="192" t="s">
        <v>1889</v>
      </c>
      <c r="I158" s="191" t="s">
        <v>1876</v>
      </c>
    </row>
    <row r="159" spans="1:9" ht="45.75" customHeight="1">
      <c r="A159" s="526" t="s">
        <v>1037</v>
      </c>
      <c r="B159" s="195">
        <v>43664</v>
      </c>
      <c r="C159" s="191" t="s">
        <v>906</v>
      </c>
      <c r="D159" s="184" t="s">
        <v>2098</v>
      </c>
      <c r="E159" s="196" t="s">
        <v>887</v>
      </c>
      <c r="F159" s="197" t="s">
        <v>544</v>
      </c>
      <c r="G159" s="198">
        <v>24100</v>
      </c>
      <c r="H159" s="192" t="s">
        <v>1891</v>
      </c>
      <c r="I159" s="191" t="s">
        <v>1876</v>
      </c>
    </row>
    <row r="160" spans="1:9" ht="45.75" customHeight="1">
      <c r="A160" s="526" t="s">
        <v>1438</v>
      </c>
      <c r="B160" s="195">
        <v>44280</v>
      </c>
      <c r="C160" s="191" t="s">
        <v>1439</v>
      </c>
      <c r="D160" s="184" t="s">
        <v>2098</v>
      </c>
      <c r="E160" s="196" t="s">
        <v>1436</v>
      </c>
      <c r="F160" s="197" t="s">
        <v>1430</v>
      </c>
      <c r="G160" s="215">
        <v>14500</v>
      </c>
      <c r="H160" s="192" t="s">
        <v>1890</v>
      </c>
      <c r="I160" s="191" t="s">
        <v>1876</v>
      </c>
    </row>
    <row r="161" spans="1:9" ht="45.75" customHeight="1">
      <c r="A161" s="526" t="s">
        <v>1483</v>
      </c>
      <c r="B161" s="195">
        <v>44266</v>
      </c>
      <c r="C161" s="191" t="s">
        <v>1482</v>
      </c>
      <c r="D161" s="184" t="s">
        <v>2098</v>
      </c>
      <c r="E161" s="196" t="s">
        <v>1405</v>
      </c>
      <c r="F161" s="197" t="s">
        <v>1409</v>
      </c>
      <c r="G161" s="198">
        <v>21300</v>
      </c>
      <c r="H161" s="192" t="s">
        <v>1942</v>
      </c>
      <c r="I161" s="191" t="s">
        <v>1876</v>
      </c>
    </row>
    <row r="162" spans="1:9" ht="45.75" customHeight="1">
      <c r="A162" s="526" t="s">
        <v>1158</v>
      </c>
      <c r="B162" s="195">
        <v>43760</v>
      </c>
      <c r="C162" s="191" t="s">
        <v>1159</v>
      </c>
      <c r="D162" s="184" t="s">
        <v>2098</v>
      </c>
      <c r="E162" s="196" t="s">
        <v>1146</v>
      </c>
      <c r="F162" s="197" t="s">
        <v>544</v>
      </c>
      <c r="G162" s="198">
        <v>21300</v>
      </c>
      <c r="H162" s="192" t="s">
        <v>2016</v>
      </c>
      <c r="I162" s="191" t="s">
        <v>1876</v>
      </c>
    </row>
    <row r="163" spans="1:9" ht="45.75" customHeight="1">
      <c r="A163" s="526" t="s">
        <v>1395</v>
      </c>
      <c r="B163" s="195">
        <v>44180</v>
      </c>
      <c r="C163" s="191" t="s">
        <v>1394</v>
      </c>
      <c r="D163" s="184" t="s">
        <v>2098</v>
      </c>
      <c r="E163" s="196" t="s">
        <v>1339</v>
      </c>
      <c r="F163" s="197" t="s">
        <v>544</v>
      </c>
      <c r="G163" s="198">
        <v>21300</v>
      </c>
      <c r="H163" s="192" t="s">
        <v>1354</v>
      </c>
      <c r="I163" s="191" t="s">
        <v>1396</v>
      </c>
    </row>
    <row r="164" spans="1:9" ht="45.75" customHeight="1">
      <c r="A164" s="526" t="s">
        <v>1199</v>
      </c>
      <c r="B164" s="195">
        <v>43805</v>
      </c>
      <c r="C164" s="191" t="s">
        <v>1195</v>
      </c>
      <c r="D164" s="184" t="s">
        <v>2098</v>
      </c>
      <c r="E164" s="196" t="s">
        <v>1194</v>
      </c>
      <c r="F164" s="197" t="s">
        <v>544</v>
      </c>
      <c r="G164" s="198">
        <v>21300</v>
      </c>
      <c r="H164" s="192" t="s">
        <v>2285</v>
      </c>
      <c r="I164" s="191" t="s">
        <v>2284</v>
      </c>
    </row>
    <row r="165" spans="1:9" ht="45.75" customHeight="1">
      <c r="A165" s="525" t="s">
        <v>1229</v>
      </c>
      <c r="B165" s="400">
        <v>43830</v>
      </c>
      <c r="C165" s="247" t="s">
        <v>1230</v>
      </c>
      <c r="D165" s="434" t="s">
        <v>2098</v>
      </c>
      <c r="E165" s="402" t="s">
        <v>1213</v>
      </c>
      <c r="F165" s="435" t="s">
        <v>544</v>
      </c>
      <c r="G165" s="436">
        <v>21300</v>
      </c>
      <c r="H165" s="192" t="s">
        <v>2286</v>
      </c>
      <c r="I165" s="191" t="s">
        <v>2284</v>
      </c>
    </row>
    <row r="166" spans="1:9" ht="45.75" customHeight="1">
      <c r="A166" s="525" t="s">
        <v>1901</v>
      </c>
      <c r="B166" s="400">
        <v>45044</v>
      </c>
      <c r="C166" s="247" t="s">
        <v>1879</v>
      </c>
      <c r="D166" s="434" t="s">
        <v>1850</v>
      </c>
      <c r="E166" s="402" t="s">
        <v>1899</v>
      </c>
      <c r="F166" s="435" t="s">
        <v>1852</v>
      </c>
      <c r="G166" s="436">
        <v>16500</v>
      </c>
      <c r="H166" s="192" t="s">
        <v>2054</v>
      </c>
      <c r="I166" s="191" t="s">
        <v>1669</v>
      </c>
    </row>
    <row r="167" spans="1:9" ht="45.75" customHeight="1">
      <c r="A167" s="528" t="s">
        <v>1586</v>
      </c>
      <c r="B167" s="195">
        <v>44480</v>
      </c>
      <c r="C167" s="206" t="s">
        <v>1551</v>
      </c>
      <c r="D167" s="184" t="s">
        <v>2352</v>
      </c>
      <c r="E167" s="196" t="s">
        <v>1575</v>
      </c>
      <c r="F167" s="326" t="s">
        <v>1554</v>
      </c>
      <c r="G167" s="198">
        <v>21500</v>
      </c>
      <c r="H167" s="192" t="s">
        <v>2053</v>
      </c>
      <c r="I167" s="191" t="s">
        <v>1669</v>
      </c>
    </row>
    <row r="168" spans="1:9" ht="45.75" customHeight="1">
      <c r="A168" s="525" t="s">
        <v>1901</v>
      </c>
      <c r="B168" s="400">
        <v>45044</v>
      </c>
      <c r="C168" s="247" t="s">
        <v>1879</v>
      </c>
      <c r="D168" s="434" t="s">
        <v>1850</v>
      </c>
      <c r="E168" s="402" t="s">
        <v>1896</v>
      </c>
      <c r="F168" s="435" t="s">
        <v>1852</v>
      </c>
      <c r="G168" s="436">
        <v>16500</v>
      </c>
      <c r="H168" s="192" t="s">
        <v>2055</v>
      </c>
      <c r="I168" s="191" t="s">
        <v>1669</v>
      </c>
    </row>
    <row r="169" spans="1:9" ht="45.75" customHeight="1">
      <c r="A169" s="532" t="s">
        <v>1848</v>
      </c>
      <c r="B169" s="390">
        <v>44926</v>
      </c>
      <c r="C169" s="399" t="s">
        <v>1849</v>
      </c>
      <c r="D169" s="391" t="s">
        <v>1850</v>
      </c>
      <c r="E169" s="392" t="s">
        <v>1851</v>
      </c>
      <c r="F169" s="393" t="s">
        <v>1852</v>
      </c>
      <c r="G169" s="394">
        <v>16500</v>
      </c>
      <c r="H169" s="192" t="s">
        <v>2056</v>
      </c>
      <c r="I169" s="191" t="s">
        <v>1669</v>
      </c>
    </row>
    <row r="170" spans="1:9" ht="45.75" customHeight="1">
      <c r="A170" s="524" t="s">
        <v>1736</v>
      </c>
      <c r="B170" s="195">
        <v>44785</v>
      </c>
      <c r="C170" s="214" t="s">
        <v>1700</v>
      </c>
      <c r="D170" s="184" t="s">
        <v>2352</v>
      </c>
      <c r="E170" s="196" t="s">
        <v>1704</v>
      </c>
      <c r="F170" s="326" t="s">
        <v>1554</v>
      </c>
      <c r="G170" s="198">
        <v>22300</v>
      </c>
      <c r="H170" s="192" t="s">
        <v>1670</v>
      </c>
      <c r="I170" s="191" t="s">
        <v>1669</v>
      </c>
    </row>
    <row r="171" spans="1:9" ht="45.75" customHeight="1">
      <c r="A171" s="524" t="s">
        <v>1865</v>
      </c>
      <c r="B171" s="398">
        <v>44972</v>
      </c>
      <c r="C171" s="214" t="s">
        <v>1849</v>
      </c>
      <c r="D171" s="396" t="s">
        <v>257</v>
      </c>
      <c r="E171" s="196" t="s">
        <v>1643</v>
      </c>
      <c r="F171" s="397" t="s">
        <v>1852</v>
      </c>
      <c r="G171" s="395">
        <v>16500</v>
      </c>
      <c r="H171" s="192" t="s">
        <v>1672</v>
      </c>
      <c r="I171" s="191" t="s">
        <v>1669</v>
      </c>
    </row>
    <row r="172" spans="1:9" ht="45.75" customHeight="1">
      <c r="A172" s="528" t="s">
        <v>1625</v>
      </c>
      <c r="B172" s="327">
        <v>44501</v>
      </c>
      <c r="C172" s="206" t="s">
        <v>1626</v>
      </c>
      <c r="D172" s="184" t="s">
        <v>257</v>
      </c>
      <c r="E172" s="196" t="s">
        <v>1628</v>
      </c>
      <c r="F172" s="326" t="s">
        <v>1559</v>
      </c>
      <c r="G172" s="198">
        <v>11215</v>
      </c>
      <c r="H172" s="192" t="s">
        <v>1673</v>
      </c>
      <c r="I172" s="191" t="s">
        <v>1669</v>
      </c>
    </row>
    <row r="173" spans="1:9" ht="45.75" customHeight="1">
      <c r="A173" s="528" t="s">
        <v>1625</v>
      </c>
      <c r="B173" s="327">
        <v>44501</v>
      </c>
      <c r="C173" s="206" t="s">
        <v>1626</v>
      </c>
      <c r="D173" s="184" t="s">
        <v>257</v>
      </c>
      <c r="E173" s="196" t="s">
        <v>1629</v>
      </c>
      <c r="F173" s="326" t="s">
        <v>1559</v>
      </c>
      <c r="G173" s="198">
        <v>11215</v>
      </c>
      <c r="H173" s="192" t="s">
        <v>1681</v>
      </c>
      <c r="I173" s="191" t="s">
        <v>1669</v>
      </c>
    </row>
    <row r="174" spans="1:9" ht="45.75" customHeight="1">
      <c r="A174" s="528" t="s">
        <v>1625</v>
      </c>
      <c r="B174" s="327">
        <v>44501</v>
      </c>
      <c r="C174" s="206" t="s">
        <v>1626</v>
      </c>
      <c r="D174" s="184" t="s">
        <v>257</v>
      </c>
      <c r="E174" s="196" t="s">
        <v>1627</v>
      </c>
      <c r="F174" s="326" t="s">
        <v>1559</v>
      </c>
      <c r="G174" s="198">
        <v>11215</v>
      </c>
      <c r="H174" s="192" t="s">
        <v>1680</v>
      </c>
      <c r="I174" s="191" t="s">
        <v>1669</v>
      </c>
    </row>
    <row r="175" spans="1:9" ht="45.75" customHeight="1">
      <c r="A175" s="525" t="s">
        <v>1982</v>
      </c>
      <c r="B175" s="400">
        <v>45219</v>
      </c>
      <c r="C175" s="247" t="s">
        <v>1974</v>
      </c>
      <c r="D175" s="434" t="s">
        <v>1850</v>
      </c>
      <c r="E175" s="402" t="s">
        <v>1994</v>
      </c>
      <c r="F175" s="435" t="s">
        <v>1984</v>
      </c>
      <c r="G175" s="436">
        <v>16500</v>
      </c>
      <c r="H175" s="192" t="s">
        <v>2277</v>
      </c>
      <c r="I175" s="191" t="s">
        <v>1669</v>
      </c>
    </row>
    <row r="176" spans="1:9" ht="45.75" customHeight="1">
      <c r="A176" s="524" t="s">
        <v>1854</v>
      </c>
      <c r="B176" s="398">
        <v>44953</v>
      </c>
      <c r="C176" s="214" t="s">
        <v>1849</v>
      </c>
      <c r="D176" s="396" t="s">
        <v>1850</v>
      </c>
      <c r="E176" s="196" t="s">
        <v>1859</v>
      </c>
      <c r="F176" s="397" t="s">
        <v>1852</v>
      </c>
      <c r="G176" s="395">
        <v>16500</v>
      </c>
      <c r="H176" s="192" t="s">
        <v>2057</v>
      </c>
      <c r="I176" s="191" t="s">
        <v>1669</v>
      </c>
    </row>
    <row r="177" spans="1:9" ht="45.75" customHeight="1">
      <c r="A177" s="528" t="s">
        <v>1586</v>
      </c>
      <c r="B177" s="195">
        <v>44480</v>
      </c>
      <c r="C177" s="206" t="s">
        <v>1551</v>
      </c>
      <c r="D177" s="184" t="s">
        <v>257</v>
      </c>
      <c r="E177" s="196" t="s">
        <v>1569</v>
      </c>
      <c r="F177" s="326" t="s">
        <v>1559</v>
      </c>
      <c r="G177" s="198">
        <v>11215</v>
      </c>
      <c r="H177" s="192" t="s">
        <v>2062</v>
      </c>
      <c r="I177" s="191" t="s">
        <v>1669</v>
      </c>
    </row>
    <row r="178" spans="1:9" ht="45.75" customHeight="1">
      <c r="A178" s="524" t="s">
        <v>1865</v>
      </c>
      <c r="B178" s="398">
        <v>44972</v>
      </c>
      <c r="C178" s="214" t="s">
        <v>1849</v>
      </c>
      <c r="D178" s="396" t="s">
        <v>1850</v>
      </c>
      <c r="E178" s="196" t="s">
        <v>1863</v>
      </c>
      <c r="F178" s="397" t="s">
        <v>1852</v>
      </c>
      <c r="G178" s="395">
        <v>16500</v>
      </c>
      <c r="H178" s="192" t="s">
        <v>2063</v>
      </c>
      <c r="I178" s="191" t="s">
        <v>1669</v>
      </c>
    </row>
    <row r="179" spans="1:9" ht="45.75" customHeight="1">
      <c r="A179" s="525" t="s">
        <v>1865</v>
      </c>
      <c r="B179" s="400">
        <v>44972</v>
      </c>
      <c r="C179" s="247" t="s">
        <v>1849</v>
      </c>
      <c r="D179" s="434" t="s">
        <v>1850</v>
      </c>
      <c r="E179" s="402" t="s">
        <v>1862</v>
      </c>
      <c r="F179" s="435" t="s">
        <v>1852</v>
      </c>
      <c r="G179" s="436">
        <v>16500</v>
      </c>
      <c r="H179" s="192" t="s">
        <v>2064</v>
      </c>
      <c r="I179" s="191" t="s">
        <v>1669</v>
      </c>
    </row>
    <row r="180" spans="1:9" ht="45.75" customHeight="1">
      <c r="A180" s="524" t="s">
        <v>1854</v>
      </c>
      <c r="B180" s="398">
        <v>44953</v>
      </c>
      <c r="C180" s="214" t="s">
        <v>1849</v>
      </c>
      <c r="D180" s="396" t="s">
        <v>1850</v>
      </c>
      <c r="E180" s="196" t="s">
        <v>1857</v>
      </c>
      <c r="F180" s="397" t="s">
        <v>1852</v>
      </c>
      <c r="G180" s="395">
        <v>16500</v>
      </c>
      <c r="H180" s="192" t="s">
        <v>2065</v>
      </c>
      <c r="I180" s="191" t="s">
        <v>1669</v>
      </c>
    </row>
    <row r="181" spans="1:9" ht="45.75" customHeight="1">
      <c r="A181" s="525" t="s">
        <v>1901</v>
      </c>
      <c r="B181" s="400">
        <v>45044</v>
      </c>
      <c r="C181" s="247" t="s">
        <v>1879</v>
      </c>
      <c r="D181" s="434" t="s">
        <v>1850</v>
      </c>
      <c r="E181" s="402" t="s">
        <v>1898</v>
      </c>
      <c r="F181" s="435" t="s">
        <v>1852</v>
      </c>
      <c r="G181" s="436">
        <v>16500</v>
      </c>
      <c r="H181" s="192" t="s">
        <v>2066</v>
      </c>
      <c r="I181" s="191" t="s">
        <v>1669</v>
      </c>
    </row>
    <row r="182" spans="1:9" ht="45.75" customHeight="1">
      <c r="A182" s="528" t="s">
        <v>1586</v>
      </c>
      <c r="B182" s="195">
        <v>44480</v>
      </c>
      <c r="C182" s="206" t="s">
        <v>1551</v>
      </c>
      <c r="D182" s="184" t="s">
        <v>257</v>
      </c>
      <c r="E182" s="196" t="s">
        <v>1568</v>
      </c>
      <c r="F182" s="326" t="s">
        <v>1559</v>
      </c>
      <c r="G182" s="198">
        <v>11215</v>
      </c>
      <c r="H182" s="192" t="s">
        <v>2067</v>
      </c>
      <c r="I182" s="191" t="s">
        <v>1669</v>
      </c>
    </row>
    <row r="183" spans="1:9" ht="45.75" customHeight="1">
      <c r="A183" s="528" t="s">
        <v>1982</v>
      </c>
      <c r="B183" s="195">
        <v>45219</v>
      </c>
      <c r="C183" s="206" t="s">
        <v>1974</v>
      </c>
      <c r="D183" s="184" t="s">
        <v>1850</v>
      </c>
      <c r="E183" s="196" t="s">
        <v>1986</v>
      </c>
      <c r="F183" s="326" t="s">
        <v>1984</v>
      </c>
      <c r="G183" s="198">
        <v>16500</v>
      </c>
      <c r="H183" s="192" t="s">
        <v>2068</v>
      </c>
      <c r="I183" s="191" t="s">
        <v>1669</v>
      </c>
    </row>
    <row r="184" spans="1:9" ht="45.75" customHeight="1">
      <c r="A184" s="526" t="s">
        <v>1395</v>
      </c>
      <c r="B184" s="195">
        <v>44180</v>
      </c>
      <c r="C184" s="191" t="s">
        <v>1394</v>
      </c>
      <c r="D184" s="184" t="s">
        <v>2098</v>
      </c>
      <c r="E184" s="196" t="s">
        <v>1341</v>
      </c>
      <c r="F184" s="197" t="s">
        <v>544</v>
      </c>
      <c r="G184" s="198">
        <v>21300</v>
      </c>
      <c r="H184" s="192" t="s">
        <v>2110</v>
      </c>
      <c r="I184" s="191" t="s">
        <v>1663</v>
      </c>
    </row>
    <row r="185" spans="1:9" ht="45.75" customHeight="1">
      <c r="A185" s="528" t="s">
        <v>1586</v>
      </c>
      <c r="B185" s="195">
        <v>44480</v>
      </c>
      <c r="C185" s="206" t="s">
        <v>1551</v>
      </c>
      <c r="D185" s="184" t="s">
        <v>2352</v>
      </c>
      <c r="E185" s="482" t="s">
        <v>1580</v>
      </c>
      <c r="F185" s="326" t="s">
        <v>1554</v>
      </c>
      <c r="G185" s="198">
        <v>21500</v>
      </c>
      <c r="H185" s="192" t="s">
        <v>2220</v>
      </c>
      <c r="I185" s="191" t="s">
        <v>1663</v>
      </c>
    </row>
    <row r="186" spans="1:9" ht="45.75" customHeight="1">
      <c r="A186" s="526" t="s">
        <v>542</v>
      </c>
      <c r="B186" s="195">
        <v>43465</v>
      </c>
      <c r="C186" s="191" t="s">
        <v>543</v>
      </c>
      <c r="D186" s="184" t="s">
        <v>2098</v>
      </c>
      <c r="E186" s="204" t="s">
        <v>521</v>
      </c>
      <c r="F186" s="197" t="s">
        <v>544</v>
      </c>
      <c r="G186" s="198">
        <v>24100</v>
      </c>
      <c r="H186" s="192" t="s">
        <v>2184</v>
      </c>
      <c r="I186" s="191" t="s">
        <v>1663</v>
      </c>
    </row>
    <row r="187" spans="1:9" ht="45.75" customHeight="1">
      <c r="A187" s="526" t="s">
        <v>907</v>
      </c>
      <c r="B187" s="195">
        <v>43656</v>
      </c>
      <c r="C187" s="191" t="s">
        <v>906</v>
      </c>
      <c r="D187" s="184" t="s">
        <v>2098</v>
      </c>
      <c r="E187" s="196" t="s">
        <v>821</v>
      </c>
      <c r="F187" s="197" t="s">
        <v>544</v>
      </c>
      <c r="G187" s="198">
        <v>24100</v>
      </c>
      <c r="H187" s="192" t="s">
        <v>1915</v>
      </c>
      <c r="I187" s="191" t="s">
        <v>1632</v>
      </c>
    </row>
    <row r="188" spans="1:9" ht="45.75" customHeight="1">
      <c r="A188" s="524" t="s">
        <v>1822</v>
      </c>
      <c r="B188" s="195">
        <v>44861</v>
      </c>
      <c r="C188" s="214" t="s">
        <v>1823</v>
      </c>
      <c r="D188" s="184" t="s">
        <v>2352</v>
      </c>
      <c r="E188" s="196" t="s">
        <v>1905</v>
      </c>
      <c r="F188" s="326" t="s">
        <v>1554</v>
      </c>
      <c r="G188" s="198">
        <v>22300</v>
      </c>
      <c r="H188" s="192" t="s">
        <v>2289</v>
      </c>
      <c r="I188" s="191" t="s">
        <v>1632</v>
      </c>
    </row>
    <row r="189" spans="1:9" ht="45.75" customHeight="1">
      <c r="A189" s="525" t="s">
        <v>2201</v>
      </c>
      <c r="B189" s="400">
        <v>45625</v>
      </c>
      <c r="C189" s="247" t="s">
        <v>2200</v>
      </c>
      <c r="D189" s="434" t="s">
        <v>1975</v>
      </c>
      <c r="E189" s="402" t="s">
        <v>2194</v>
      </c>
      <c r="F189" s="435" t="s">
        <v>1983</v>
      </c>
      <c r="G189" s="436">
        <v>22300</v>
      </c>
      <c r="H189" s="192" t="s">
        <v>1464</v>
      </c>
      <c r="I189" s="191" t="s">
        <v>2043</v>
      </c>
    </row>
    <row r="190" spans="1:9" ht="45.75" customHeight="1">
      <c r="A190" s="526" t="s">
        <v>1395</v>
      </c>
      <c r="B190" s="195">
        <v>44180</v>
      </c>
      <c r="C190" s="191" t="s">
        <v>1394</v>
      </c>
      <c r="D190" s="184" t="s">
        <v>2098</v>
      </c>
      <c r="E190" s="196" t="s">
        <v>1335</v>
      </c>
      <c r="F190" s="197" t="s">
        <v>544</v>
      </c>
      <c r="G190" s="198">
        <v>21300</v>
      </c>
      <c r="H190" s="192" t="s">
        <v>1463</v>
      </c>
      <c r="I190" s="191" t="s">
        <v>2043</v>
      </c>
    </row>
    <row r="191" spans="1:9" ht="45.75" customHeight="1">
      <c r="A191" s="525" t="s">
        <v>1037</v>
      </c>
      <c r="B191" s="400">
        <v>43664</v>
      </c>
      <c r="C191" s="247" t="s">
        <v>906</v>
      </c>
      <c r="D191" s="434" t="s">
        <v>2098</v>
      </c>
      <c r="E191" s="402" t="s">
        <v>882</v>
      </c>
      <c r="F191" s="435" t="s">
        <v>544</v>
      </c>
      <c r="G191" s="436">
        <v>24100</v>
      </c>
      <c r="H191" s="192" t="s">
        <v>1462</v>
      </c>
      <c r="I191" s="191" t="s">
        <v>2043</v>
      </c>
    </row>
    <row r="192" spans="1:9" ht="45.75" customHeight="1">
      <c r="A192" s="525" t="s">
        <v>1037</v>
      </c>
      <c r="B192" s="400">
        <v>43664</v>
      </c>
      <c r="C192" s="247" t="s">
        <v>906</v>
      </c>
      <c r="D192" s="434" t="s">
        <v>2098</v>
      </c>
      <c r="E192" s="402" t="s">
        <v>883</v>
      </c>
      <c r="F192" s="435" t="s">
        <v>544</v>
      </c>
      <c r="G192" s="436">
        <v>24100</v>
      </c>
      <c r="H192" s="192" t="s">
        <v>1461</v>
      </c>
      <c r="I192" s="191" t="s">
        <v>2043</v>
      </c>
    </row>
    <row r="193" spans="1:9" ht="45.75" customHeight="1">
      <c r="A193" s="526" t="s">
        <v>1197</v>
      </c>
      <c r="B193" s="195">
        <v>43794</v>
      </c>
      <c r="C193" s="191" t="s">
        <v>1187</v>
      </c>
      <c r="D193" s="184" t="s">
        <v>2098</v>
      </c>
      <c r="E193" s="196" t="s">
        <v>1034</v>
      </c>
      <c r="F193" s="197" t="s">
        <v>544</v>
      </c>
      <c r="G193" s="198">
        <v>21300</v>
      </c>
      <c r="H193" s="192" t="s">
        <v>2288</v>
      </c>
      <c r="I193" s="191" t="s">
        <v>2072</v>
      </c>
    </row>
    <row r="194" spans="1:9" ht="45.75" customHeight="1">
      <c r="A194" s="526" t="s">
        <v>1039</v>
      </c>
      <c r="B194" s="195">
        <v>43661</v>
      </c>
      <c r="C194" s="191" t="s">
        <v>906</v>
      </c>
      <c r="D194" s="184" t="s">
        <v>2098</v>
      </c>
      <c r="E194" s="196" t="s">
        <v>856</v>
      </c>
      <c r="F194" s="197" t="s">
        <v>544</v>
      </c>
      <c r="G194" s="198">
        <v>24100</v>
      </c>
      <c r="H194" s="192" t="s">
        <v>2291</v>
      </c>
      <c r="I194" s="191" t="s">
        <v>2072</v>
      </c>
    </row>
    <row r="195" spans="1:9" ht="45.75" customHeight="1">
      <c r="A195" s="524" t="s">
        <v>1647</v>
      </c>
      <c r="B195" s="195">
        <v>44564</v>
      </c>
      <c r="C195" s="214" t="s">
        <v>1648</v>
      </c>
      <c r="D195" s="184" t="s">
        <v>2352</v>
      </c>
      <c r="E195" s="196" t="s">
        <v>1649</v>
      </c>
      <c r="F195" s="326" t="s">
        <v>1554</v>
      </c>
      <c r="G195" s="198">
        <v>21500</v>
      </c>
      <c r="H195" s="192" t="s">
        <v>1907</v>
      </c>
      <c r="I195" s="191" t="s">
        <v>2072</v>
      </c>
    </row>
    <row r="196" spans="1:9" ht="45.75" customHeight="1">
      <c r="A196" s="526" t="s">
        <v>1208</v>
      </c>
      <c r="B196" s="195">
        <v>43826</v>
      </c>
      <c r="C196" s="191" t="s">
        <v>1206</v>
      </c>
      <c r="D196" s="184" t="s">
        <v>2098</v>
      </c>
      <c r="E196" s="196" t="s">
        <v>1215</v>
      </c>
      <c r="F196" s="197" t="s">
        <v>544</v>
      </c>
      <c r="G196" s="198">
        <v>21300</v>
      </c>
      <c r="H196" s="192" t="s">
        <v>1908</v>
      </c>
      <c r="I196" s="191" t="s">
        <v>2072</v>
      </c>
    </row>
    <row r="197" spans="1:9" ht="45.75" customHeight="1">
      <c r="A197" s="526" t="s">
        <v>1399</v>
      </c>
      <c r="B197" s="195">
        <v>44202</v>
      </c>
      <c r="C197" s="191" t="s">
        <v>1400</v>
      </c>
      <c r="D197" s="184" t="s">
        <v>2098</v>
      </c>
      <c r="E197" s="196" t="s">
        <v>1356</v>
      </c>
      <c r="F197" s="197" t="s">
        <v>544</v>
      </c>
      <c r="G197" s="198">
        <v>21300</v>
      </c>
      <c r="H197" s="192" t="s">
        <v>2069</v>
      </c>
      <c r="I197" s="191" t="s">
        <v>2072</v>
      </c>
    </row>
    <row r="198" spans="1:9" ht="45.75" customHeight="1">
      <c r="A198" s="525" t="s">
        <v>2182</v>
      </c>
      <c r="B198" s="400">
        <v>45432</v>
      </c>
      <c r="C198" s="247" t="s">
        <v>2125</v>
      </c>
      <c r="D198" s="434" t="s">
        <v>1975</v>
      </c>
      <c r="E198" s="402" t="s">
        <v>2127</v>
      </c>
      <c r="F198" s="435" t="s">
        <v>1983</v>
      </c>
      <c r="G198" s="436">
        <v>22300</v>
      </c>
      <c r="H198" s="192" t="s">
        <v>1909</v>
      </c>
      <c r="I198" s="191" t="s">
        <v>2072</v>
      </c>
    </row>
    <row r="199" spans="1:9" ht="45.75" customHeight="1">
      <c r="A199" s="526" t="s">
        <v>2100</v>
      </c>
      <c r="B199" s="195">
        <v>45366</v>
      </c>
      <c r="C199" s="191" t="s">
        <v>2086</v>
      </c>
      <c r="D199" s="184" t="s">
        <v>1975</v>
      </c>
      <c r="E199" s="196" t="s">
        <v>2095</v>
      </c>
      <c r="F199" s="197" t="s">
        <v>1983</v>
      </c>
      <c r="G199" s="198">
        <v>22300</v>
      </c>
      <c r="H199" s="192" t="s">
        <v>1910</v>
      </c>
      <c r="I199" s="191" t="s">
        <v>2072</v>
      </c>
    </row>
    <row r="200" spans="1:9" ht="45.75" customHeight="1">
      <c r="A200" s="526" t="s">
        <v>1037</v>
      </c>
      <c r="B200" s="195">
        <v>43664</v>
      </c>
      <c r="C200" s="191" t="s">
        <v>906</v>
      </c>
      <c r="D200" s="184" t="s">
        <v>2098</v>
      </c>
      <c r="E200" s="196" t="s">
        <v>888</v>
      </c>
      <c r="F200" s="197" t="s">
        <v>544</v>
      </c>
      <c r="G200" s="198">
        <v>24100</v>
      </c>
      <c r="H200" s="192" t="s">
        <v>1911</v>
      </c>
      <c r="I200" s="191" t="s">
        <v>2072</v>
      </c>
    </row>
    <row r="201" spans="1:9" ht="45.75" customHeight="1">
      <c r="A201" s="528" t="s">
        <v>1615</v>
      </c>
      <c r="B201" s="195">
        <v>44500</v>
      </c>
      <c r="C201" s="213" t="s">
        <v>1616</v>
      </c>
      <c r="D201" s="184" t="s">
        <v>257</v>
      </c>
      <c r="E201" s="204" t="s">
        <v>1619</v>
      </c>
      <c r="F201" s="326" t="s">
        <v>1559</v>
      </c>
      <c r="G201" s="198">
        <v>11215</v>
      </c>
      <c r="H201" s="192" t="s">
        <v>2251</v>
      </c>
      <c r="I201" s="183" t="s">
        <v>2071</v>
      </c>
    </row>
    <row r="202" spans="1:9" ht="45.75" customHeight="1">
      <c r="A202" s="524" t="s">
        <v>1854</v>
      </c>
      <c r="B202" s="398">
        <v>44953</v>
      </c>
      <c r="C202" s="214" t="s">
        <v>1849</v>
      </c>
      <c r="D202" s="396" t="s">
        <v>1850</v>
      </c>
      <c r="E202" s="204" t="s">
        <v>1855</v>
      </c>
      <c r="F202" s="397" t="s">
        <v>1852</v>
      </c>
      <c r="G202" s="395">
        <v>16500</v>
      </c>
      <c r="H202" s="192" t="s">
        <v>2252</v>
      </c>
      <c r="I202" s="183" t="s">
        <v>2071</v>
      </c>
    </row>
    <row r="203" spans="1:9" ht="45.75" customHeight="1">
      <c r="A203" s="524" t="s">
        <v>1640</v>
      </c>
      <c r="B203" s="195">
        <v>44538</v>
      </c>
      <c r="C203" s="214" t="s">
        <v>1641</v>
      </c>
      <c r="D203" s="184" t="s">
        <v>257</v>
      </c>
      <c r="E203" s="196" t="s">
        <v>1642</v>
      </c>
      <c r="F203" s="326" t="s">
        <v>1559</v>
      </c>
      <c r="G203" s="198">
        <v>11215</v>
      </c>
      <c r="H203" s="192" t="s">
        <v>2253</v>
      </c>
      <c r="I203" s="183" t="s">
        <v>2071</v>
      </c>
    </row>
    <row r="204" spans="1:9" ht="45.75" customHeight="1">
      <c r="A204" s="525" t="s">
        <v>1982</v>
      </c>
      <c r="B204" s="400">
        <v>45219</v>
      </c>
      <c r="C204" s="247" t="s">
        <v>1974</v>
      </c>
      <c r="D204" s="434" t="s">
        <v>1850</v>
      </c>
      <c r="E204" s="204" t="s">
        <v>1992</v>
      </c>
      <c r="F204" s="435" t="s">
        <v>1984</v>
      </c>
      <c r="G204" s="436">
        <v>16500</v>
      </c>
      <c r="H204" s="192" t="s">
        <v>2254</v>
      </c>
      <c r="I204" s="183" t="s">
        <v>2071</v>
      </c>
    </row>
    <row r="205" spans="1:9" ht="45.75" customHeight="1">
      <c r="A205" s="525" t="s">
        <v>1901</v>
      </c>
      <c r="B205" s="400">
        <v>45044</v>
      </c>
      <c r="C205" s="247" t="s">
        <v>1879</v>
      </c>
      <c r="D205" s="434" t="s">
        <v>1850</v>
      </c>
      <c r="E205" s="196" t="s">
        <v>1895</v>
      </c>
      <c r="F205" s="435" t="s">
        <v>1852</v>
      </c>
      <c r="G205" s="436">
        <v>16500</v>
      </c>
      <c r="H205" s="192" t="s">
        <v>2255</v>
      </c>
      <c r="I205" s="183" t="s">
        <v>2071</v>
      </c>
    </row>
    <row r="206" spans="1:9" ht="45.75" customHeight="1">
      <c r="A206" s="528" t="s">
        <v>1586</v>
      </c>
      <c r="B206" s="195">
        <v>44480</v>
      </c>
      <c r="C206" s="213" t="s">
        <v>1551</v>
      </c>
      <c r="D206" s="184" t="s">
        <v>257</v>
      </c>
      <c r="E206" s="196" t="s">
        <v>1565</v>
      </c>
      <c r="F206" s="326" t="s">
        <v>1559</v>
      </c>
      <c r="G206" s="198">
        <v>11215</v>
      </c>
      <c r="H206" s="192" t="s">
        <v>2250</v>
      </c>
      <c r="I206" s="183" t="s">
        <v>2071</v>
      </c>
    </row>
    <row r="207" spans="1:9" ht="45.75" customHeight="1">
      <c r="A207" s="525" t="s">
        <v>1625</v>
      </c>
      <c r="B207" s="400">
        <v>44501</v>
      </c>
      <c r="C207" s="247" t="s">
        <v>1626</v>
      </c>
      <c r="D207" s="434" t="s">
        <v>257</v>
      </c>
      <c r="E207" s="204" t="s">
        <v>1630</v>
      </c>
      <c r="F207" s="435" t="s">
        <v>1559</v>
      </c>
      <c r="G207" s="436">
        <v>11215</v>
      </c>
      <c r="H207" s="192" t="s">
        <v>2256</v>
      </c>
      <c r="I207" s="183" t="s">
        <v>2071</v>
      </c>
    </row>
    <row r="208" spans="1:9" ht="45.75" customHeight="1">
      <c r="A208" s="531" t="s">
        <v>1586</v>
      </c>
      <c r="B208" s="195">
        <v>44480</v>
      </c>
      <c r="C208" s="213" t="s">
        <v>1551</v>
      </c>
      <c r="D208" s="184" t="s">
        <v>257</v>
      </c>
      <c r="E208" s="196" t="s">
        <v>1566</v>
      </c>
      <c r="F208" s="326" t="s">
        <v>1559</v>
      </c>
      <c r="G208" s="198">
        <v>11215</v>
      </c>
      <c r="H208" s="192" t="s">
        <v>2260</v>
      </c>
      <c r="I208" s="183" t="s">
        <v>2071</v>
      </c>
    </row>
    <row r="209" spans="1:9" ht="45.75" customHeight="1">
      <c r="A209" s="531" t="s">
        <v>1586</v>
      </c>
      <c r="B209" s="195">
        <v>44480</v>
      </c>
      <c r="C209" s="213" t="s">
        <v>1551</v>
      </c>
      <c r="D209" s="184" t="s">
        <v>257</v>
      </c>
      <c r="E209" s="196" t="s">
        <v>1558</v>
      </c>
      <c r="F209" s="326" t="s">
        <v>1559</v>
      </c>
      <c r="G209" s="198">
        <v>11215</v>
      </c>
      <c r="H209" s="192" t="s">
        <v>2259</v>
      </c>
      <c r="I209" s="183" t="s">
        <v>2071</v>
      </c>
    </row>
    <row r="210" spans="1:9" ht="45.75" customHeight="1">
      <c r="A210" s="528" t="s">
        <v>1586</v>
      </c>
      <c r="B210" s="195">
        <v>44480</v>
      </c>
      <c r="C210" s="213" t="s">
        <v>1551</v>
      </c>
      <c r="D210" s="184" t="s">
        <v>257</v>
      </c>
      <c r="E210" s="196" t="s">
        <v>1570</v>
      </c>
      <c r="F210" s="326" t="s">
        <v>1559</v>
      </c>
      <c r="G210" s="198">
        <v>11215</v>
      </c>
      <c r="H210" s="192" t="s">
        <v>2257</v>
      </c>
      <c r="I210" s="183" t="s">
        <v>2071</v>
      </c>
    </row>
    <row r="211" spans="1:9" ht="45.75" customHeight="1">
      <c r="A211" s="524" t="s">
        <v>1640</v>
      </c>
      <c r="B211" s="195">
        <v>44538</v>
      </c>
      <c r="C211" s="214" t="s">
        <v>1641</v>
      </c>
      <c r="D211" s="184" t="s">
        <v>257</v>
      </c>
      <c r="E211" s="196" t="s">
        <v>1645</v>
      </c>
      <c r="F211" s="326" t="s">
        <v>1559</v>
      </c>
      <c r="G211" s="198">
        <v>11215</v>
      </c>
      <c r="H211" s="192" t="s">
        <v>2258</v>
      </c>
      <c r="I211" s="183" t="s">
        <v>2071</v>
      </c>
    </row>
    <row r="212" spans="1:9" ht="45.75" customHeight="1">
      <c r="A212" s="526" t="s">
        <v>907</v>
      </c>
      <c r="B212" s="195">
        <v>43656</v>
      </c>
      <c r="C212" s="191" t="s">
        <v>906</v>
      </c>
      <c r="D212" s="184" t="s">
        <v>2098</v>
      </c>
      <c r="E212" s="196" t="s">
        <v>814</v>
      </c>
      <c r="F212" s="197" t="s">
        <v>544</v>
      </c>
      <c r="G212" s="198">
        <v>24100</v>
      </c>
      <c r="H212" s="192" t="s">
        <v>2174</v>
      </c>
      <c r="I212" s="191" t="s">
        <v>1133</v>
      </c>
    </row>
    <row r="213" spans="1:9" ht="45.75" customHeight="1">
      <c r="A213" s="526" t="s">
        <v>1229</v>
      </c>
      <c r="B213" s="195">
        <v>43830</v>
      </c>
      <c r="C213" s="191" t="s">
        <v>1230</v>
      </c>
      <c r="D213" s="184" t="s">
        <v>2098</v>
      </c>
      <c r="E213" s="196" t="s">
        <v>1219</v>
      </c>
      <c r="F213" s="197" t="s">
        <v>544</v>
      </c>
      <c r="G213" s="198">
        <v>21300</v>
      </c>
      <c r="H213" s="192" t="s">
        <v>1906</v>
      </c>
      <c r="I213" s="191" t="s">
        <v>1133</v>
      </c>
    </row>
    <row r="214" spans="1:9" ht="45.75" customHeight="1">
      <c r="A214" s="526" t="s">
        <v>1037</v>
      </c>
      <c r="B214" s="195">
        <v>43664</v>
      </c>
      <c r="C214" s="191" t="s">
        <v>906</v>
      </c>
      <c r="D214" s="184" t="s">
        <v>2098</v>
      </c>
      <c r="E214" s="196" t="s">
        <v>884</v>
      </c>
      <c r="F214" s="197" t="s">
        <v>544</v>
      </c>
      <c r="G214" s="198">
        <v>24100</v>
      </c>
      <c r="H214" s="192" t="s">
        <v>2041</v>
      </c>
      <c r="I214" s="191" t="s">
        <v>1133</v>
      </c>
    </row>
    <row r="215" spans="1:9" ht="45.75" customHeight="1">
      <c r="A215" s="526" t="s">
        <v>1038</v>
      </c>
      <c r="B215" s="195">
        <v>43668</v>
      </c>
      <c r="C215" s="191" t="s">
        <v>906</v>
      </c>
      <c r="D215" s="184" t="s">
        <v>2098</v>
      </c>
      <c r="E215" s="196" t="s">
        <v>1032</v>
      </c>
      <c r="F215" s="197" t="s">
        <v>544</v>
      </c>
      <c r="G215" s="198">
        <v>24100</v>
      </c>
      <c r="H215" s="192" t="s">
        <v>2177</v>
      </c>
      <c r="I215" s="191" t="s">
        <v>1133</v>
      </c>
    </row>
    <row r="216" spans="1:9" ht="45.75" customHeight="1">
      <c r="A216" s="528" t="s">
        <v>1586</v>
      </c>
      <c r="B216" s="195">
        <v>44480</v>
      </c>
      <c r="C216" s="206" t="s">
        <v>1551</v>
      </c>
      <c r="D216" s="184" t="s">
        <v>2352</v>
      </c>
      <c r="E216" s="482" t="s">
        <v>1563</v>
      </c>
      <c r="F216" s="326" t="s">
        <v>1554</v>
      </c>
      <c r="G216" s="198">
        <v>21500</v>
      </c>
      <c r="H216" s="192" t="s">
        <v>2042</v>
      </c>
      <c r="I216" s="191" t="s">
        <v>1133</v>
      </c>
    </row>
    <row r="217" spans="1:9" ht="45.75" customHeight="1">
      <c r="A217" s="526" t="s">
        <v>1231</v>
      </c>
      <c r="B217" s="195">
        <v>43837</v>
      </c>
      <c r="C217" s="191" t="s">
        <v>1232</v>
      </c>
      <c r="D217" s="184" t="s">
        <v>2098</v>
      </c>
      <c r="E217" s="196" t="s">
        <v>1225</v>
      </c>
      <c r="F217" s="197" t="s">
        <v>544</v>
      </c>
      <c r="G217" s="198">
        <v>21300</v>
      </c>
      <c r="H217" s="192" t="s">
        <v>1453</v>
      </c>
      <c r="I217" s="191" t="s">
        <v>1432</v>
      </c>
    </row>
    <row r="218" spans="1:9" ht="45.75" customHeight="1">
      <c r="A218" s="526" t="s">
        <v>907</v>
      </c>
      <c r="B218" s="195">
        <v>43656</v>
      </c>
      <c r="C218" s="191" t="s">
        <v>906</v>
      </c>
      <c r="D218" s="184" t="s">
        <v>2098</v>
      </c>
      <c r="E218" s="196" t="s">
        <v>816</v>
      </c>
      <c r="F218" s="197" t="s">
        <v>544</v>
      </c>
      <c r="G218" s="198">
        <v>24100</v>
      </c>
      <c r="H218" s="192" t="s">
        <v>1452</v>
      </c>
      <c r="I218" s="191" t="s">
        <v>1432</v>
      </c>
    </row>
    <row r="219" spans="1:9" ht="45.75" customHeight="1">
      <c r="A219" s="526" t="s">
        <v>1483</v>
      </c>
      <c r="B219" s="195">
        <v>44266</v>
      </c>
      <c r="C219" s="191" t="s">
        <v>1482</v>
      </c>
      <c r="D219" s="184" t="s">
        <v>2098</v>
      </c>
      <c r="E219" s="196" t="s">
        <v>1407</v>
      </c>
      <c r="F219" s="197" t="s">
        <v>1409</v>
      </c>
      <c r="G219" s="198">
        <v>21300</v>
      </c>
      <c r="H219" s="192" t="s">
        <v>1451</v>
      </c>
      <c r="I219" s="191" t="s">
        <v>1432</v>
      </c>
    </row>
    <row r="220" spans="1:9" ht="45.75" customHeight="1">
      <c r="A220" s="526" t="s">
        <v>1038</v>
      </c>
      <c r="B220" s="195">
        <v>43668</v>
      </c>
      <c r="C220" s="191" t="s">
        <v>906</v>
      </c>
      <c r="D220" s="184" t="s">
        <v>2098</v>
      </c>
      <c r="E220" s="196" t="s">
        <v>1030</v>
      </c>
      <c r="F220" s="197" t="s">
        <v>544</v>
      </c>
      <c r="G220" s="198">
        <v>24100</v>
      </c>
      <c r="H220" s="192" t="s">
        <v>1450</v>
      </c>
      <c r="I220" s="191" t="s">
        <v>1432</v>
      </c>
    </row>
    <row r="221" spans="1:9" ht="45.75" customHeight="1">
      <c r="A221" s="526" t="s">
        <v>1399</v>
      </c>
      <c r="B221" s="195">
        <v>44202</v>
      </c>
      <c r="C221" s="191" t="s">
        <v>1400</v>
      </c>
      <c r="D221" s="184" t="s">
        <v>2098</v>
      </c>
      <c r="E221" s="196" t="s">
        <v>1363</v>
      </c>
      <c r="F221" s="197" t="s">
        <v>544</v>
      </c>
      <c r="G221" s="198">
        <v>21300</v>
      </c>
      <c r="H221" s="192" t="s">
        <v>1449</v>
      </c>
      <c r="I221" s="191" t="s">
        <v>1432</v>
      </c>
    </row>
    <row r="222" spans="1:9" ht="45.75" customHeight="1">
      <c r="A222" s="526" t="s">
        <v>1229</v>
      </c>
      <c r="B222" s="195">
        <v>43830</v>
      </c>
      <c r="C222" s="191" t="s">
        <v>1230</v>
      </c>
      <c r="D222" s="184" t="s">
        <v>2098</v>
      </c>
      <c r="E222" s="196" t="s">
        <v>1216</v>
      </c>
      <c r="F222" s="197" t="s">
        <v>544</v>
      </c>
      <c r="G222" s="198">
        <v>21300</v>
      </c>
      <c r="H222" s="192" t="s">
        <v>2204</v>
      </c>
      <c r="I222" s="191" t="s">
        <v>1432</v>
      </c>
    </row>
    <row r="223" spans="1:9" ht="45.75" customHeight="1">
      <c r="A223" s="528" t="s">
        <v>1586</v>
      </c>
      <c r="B223" s="195">
        <v>44480</v>
      </c>
      <c r="C223" s="206" t="s">
        <v>1551</v>
      </c>
      <c r="D223" s="184" t="s">
        <v>1975</v>
      </c>
      <c r="E223" s="196" t="s">
        <v>1564</v>
      </c>
      <c r="F223" s="326" t="s">
        <v>1554</v>
      </c>
      <c r="G223" s="198">
        <v>21500</v>
      </c>
      <c r="H223" s="192" t="s">
        <v>1693</v>
      </c>
      <c r="I223" s="191" t="s">
        <v>1432</v>
      </c>
    </row>
    <row r="224" spans="1:9" ht="45.75" customHeight="1">
      <c r="A224" s="526" t="s">
        <v>1037</v>
      </c>
      <c r="B224" s="195">
        <v>43664</v>
      </c>
      <c r="C224" s="191" t="s">
        <v>906</v>
      </c>
      <c r="D224" s="184" t="s">
        <v>2098</v>
      </c>
      <c r="E224" s="482" t="s">
        <v>879</v>
      </c>
      <c r="F224" s="197" t="s">
        <v>544</v>
      </c>
      <c r="G224" s="198">
        <v>24100</v>
      </c>
      <c r="H224" s="192" t="s">
        <v>1694</v>
      </c>
      <c r="I224" s="191" t="s">
        <v>1432</v>
      </c>
    </row>
    <row r="225" spans="1:9" ht="45.75" customHeight="1">
      <c r="A225" s="526" t="s">
        <v>1229</v>
      </c>
      <c r="B225" s="195">
        <v>43830</v>
      </c>
      <c r="C225" s="191" t="s">
        <v>1230</v>
      </c>
      <c r="D225" s="184" t="s">
        <v>2098</v>
      </c>
      <c r="E225" s="196" t="s">
        <v>1217</v>
      </c>
      <c r="F225" s="197" t="s">
        <v>544</v>
      </c>
      <c r="G225" s="198">
        <v>21300</v>
      </c>
      <c r="H225" s="192" t="s">
        <v>1695</v>
      </c>
      <c r="I225" s="191" t="s">
        <v>1432</v>
      </c>
    </row>
    <row r="226" spans="1:9" ht="45.75" customHeight="1">
      <c r="A226" s="524" t="s">
        <v>1647</v>
      </c>
      <c r="B226" s="195">
        <v>44564</v>
      </c>
      <c r="C226" s="214" t="s">
        <v>1648</v>
      </c>
      <c r="D226" s="184" t="s">
        <v>2352</v>
      </c>
      <c r="E226" s="196" t="s">
        <v>1653</v>
      </c>
      <c r="F226" s="326" t="s">
        <v>1554</v>
      </c>
      <c r="G226" s="198">
        <v>21500</v>
      </c>
      <c r="H226" s="192" t="s">
        <v>1697</v>
      </c>
      <c r="I226" s="191" t="s">
        <v>1432</v>
      </c>
    </row>
    <row r="227" spans="1:9" ht="45.75" customHeight="1">
      <c r="A227" s="526" t="s">
        <v>1037</v>
      </c>
      <c r="B227" s="195">
        <v>43664</v>
      </c>
      <c r="C227" s="191" t="s">
        <v>906</v>
      </c>
      <c r="D227" s="184" t="s">
        <v>2098</v>
      </c>
      <c r="E227" s="196" t="s">
        <v>881</v>
      </c>
      <c r="F227" s="197" t="s">
        <v>544</v>
      </c>
      <c r="G227" s="198">
        <v>24100</v>
      </c>
      <c r="H227" s="192" t="s">
        <v>1832</v>
      </c>
      <c r="I227" s="191" t="s">
        <v>1432</v>
      </c>
    </row>
    <row r="228" spans="1:9" ht="45.75" customHeight="1">
      <c r="A228" s="528" t="s">
        <v>1586</v>
      </c>
      <c r="B228" s="195">
        <v>44480</v>
      </c>
      <c r="C228" s="206" t="s">
        <v>1551</v>
      </c>
      <c r="D228" s="184" t="s">
        <v>2352</v>
      </c>
      <c r="E228" s="196" t="s">
        <v>1553</v>
      </c>
      <c r="F228" s="326" t="s">
        <v>1554</v>
      </c>
      <c r="G228" s="198">
        <v>21500</v>
      </c>
      <c r="H228" s="192" t="s">
        <v>1460</v>
      </c>
      <c r="I228" s="191" t="s">
        <v>1432</v>
      </c>
    </row>
    <row r="229" spans="1:9" ht="45.75" customHeight="1">
      <c r="A229" s="531" t="s">
        <v>1586</v>
      </c>
      <c r="B229" s="195">
        <v>44480</v>
      </c>
      <c r="C229" s="206" t="s">
        <v>1551</v>
      </c>
      <c r="D229" s="184" t="s">
        <v>2352</v>
      </c>
      <c r="E229" s="196" t="s">
        <v>1581</v>
      </c>
      <c r="F229" s="326" t="s">
        <v>1554</v>
      </c>
      <c r="G229" s="198">
        <v>21500</v>
      </c>
      <c r="H229" s="192" t="s">
        <v>1912</v>
      </c>
      <c r="I229" s="191" t="s">
        <v>1432</v>
      </c>
    </row>
    <row r="230" spans="1:9" ht="45.75" customHeight="1">
      <c r="A230" s="526" t="s">
        <v>1231</v>
      </c>
      <c r="B230" s="195">
        <v>43837</v>
      </c>
      <c r="C230" s="191" t="s">
        <v>1232</v>
      </c>
      <c r="D230" s="184" t="s">
        <v>2098</v>
      </c>
      <c r="E230" s="196" t="s">
        <v>1222</v>
      </c>
      <c r="F230" s="197" t="s">
        <v>544</v>
      </c>
      <c r="G230" s="198">
        <v>21300</v>
      </c>
      <c r="H230" s="192" t="s">
        <v>1459</v>
      </c>
      <c r="I230" s="191" t="s">
        <v>1432</v>
      </c>
    </row>
    <row r="231" spans="1:9" ht="45.75" customHeight="1">
      <c r="A231" s="526" t="s">
        <v>1399</v>
      </c>
      <c r="B231" s="195">
        <v>44202</v>
      </c>
      <c r="C231" s="191" t="s">
        <v>1400</v>
      </c>
      <c r="D231" s="184" t="s">
        <v>2098</v>
      </c>
      <c r="E231" s="196" t="s">
        <v>1371</v>
      </c>
      <c r="F231" s="197" t="s">
        <v>544</v>
      </c>
      <c r="G231" s="198">
        <v>21300</v>
      </c>
      <c r="H231" s="192" t="s">
        <v>1458</v>
      </c>
      <c r="I231" s="191" t="s">
        <v>1432</v>
      </c>
    </row>
    <row r="232" spans="1:9" ht="45.75" customHeight="1">
      <c r="A232" s="526" t="s">
        <v>1399</v>
      </c>
      <c r="B232" s="195">
        <v>44202</v>
      </c>
      <c r="C232" s="191" t="s">
        <v>1400</v>
      </c>
      <c r="D232" s="184" t="s">
        <v>2098</v>
      </c>
      <c r="E232" s="196" t="s">
        <v>1369</v>
      </c>
      <c r="F232" s="197" t="s">
        <v>544</v>
      </c>
      <c r="G232" s="198">
        <v>21300</v>
      </c>
      <c r="H232" s="192" t="s">
        <v>1456</v>
      </c>
      <c r="I232" s="191" t="s">
        <v>1432</v>
      </c>
    </row>
    <row r="233" spans="1:9" ht="45.75" customHeight="1">
      <c r="A233" s="526" t="s">
        <v>1483</v>
      </c>
      <c r="B233" s="195">
        <v>44266</v>
      </c>
      <c r="C233" s="191" t="s">
        <v>1482</v>
      </c>
      <c r="D233" s="184" t="s">
        <v>2098</v>
      </c>
      <c r="E233" s="196" t="s">
        <v>1413</v>
      </c>
      <c r="F233" s="197" t="s">
        <v>1409</v>
      </c>
      <c r="G233" s="198">
        <v>21300</v>
      </c>
      <c r="H233" s="192" t="s">
        <v>1455</v>
      </c>
      <c r="I233" s="191" t="s">
        <v>1432</v>
      </c>
    </row>
    <row r="234" spans="1:9" ht="45.75" customHeight="1">
      <c r="A234" s="526" t="s">
        <v>1158</v>
      </c>
      <c r="B234" s="195">
        <v>43760</v>
      </c>
      <c r="C234" s="191" t="s">
        <v>1159</v>
      </c>
      <c r="D234" s="184" t="s">
        <v>2098</v>
      </c>
      <c r="E234" s="196" t="s">
        <v>1147</v>
      </c>
      <c r="F234" s="197" t="s">
        <v>544</v>
      </c>
      <c r="G234" s="198">
        <v>21300</v>
      </c>
      <c r="H234" s="192" t="s">
        <v>1457</v>
      </c>
      <c r="I234" s="191" t="s">
        <v>1432</v>
      </c>
    </row>
    <row r="235" spans="1:9" ht="45.75" customHeight="1">
      <c r="A235" s="526" t="s">
        <v>542</v>
      </c>
      <c r="B235" s="195">
        <v>43465</v>
      </c>
      <c r="C235" s="191" t="s">
        <v>543</v>
      </c>
      <c r="D235" s="184" t="s">
        <v>2098</v>
      </c>
      <c r="E235" s="196" t="s">
        <v>525</v>
      </c>
      <c r="F235" s="197" t="s">
        <v>544</v>
      </c>
      <c r="G235" s="198">
        <v>24100</v>
      </c>
      <c r="H235" s="192" t="s">
        <v>1454</v>
      </c>
      <c r="I235" s="191" t="s">
        <v>1432</v>
      </c>
    </row>
    <row r="236" spans="1:9" ht="45.75" customHeight="1">
      <c r="A236" s="526" t="s">
        <v>1483</v>
      </c>
      <c r="B236" s="195">
        <v>44266</v>
      </c>
      <c r="C236" s="191" t="s">
        <v>1482</v>
      </c>
      <c r="D236" s="184" t="s">
        <v>2098</v>
      </c>
      <c r="E236" s="196" t="s">
        <v>1414</v>
      </c>
      <c r="F236" s="197" t="s">
        <v>1409</v>
      </c>
      <c r="G236" s="198">
        <v>21300</v>
      </c>
      <c r="H236" s="192" t="s">
        <v>1698</v>
      </c>
      <c r="I236" s="191" t="s">
        <v>1432</v>
      </c>
    </row>
    <row r="237" spans="1:9" ht="45.75" customHeight="1">
      <c r="A237" s="526" t="s">
        <v>907</v>
      </c>
      <c r="B237" s="195">
        <v>43656</v>
      </c>
      <c r="C237" s="191" t="s">
        <v>906</v>
      </c>
      <c r="D237" s="184" t="s">
        <v>2098</v>
      </c>
      <c r="E237" s="196" t="s">
        <v>820</v>
      </c>
      <c r="F237" s="197" t="s">
        <v>544</v>
      </c>
      <c r="G237" s="198">
        <v>24100</v>
      </c>
      <c r="H237" s="192" t="s">
        <v>1743</v>
      </c>
      <c r="I237" s="191" t="s">
        <v>1228</v>
      </c>
    </row>
    <row r="238" spans="1:9" ht="45.75" customHeight="1">
      <c r="A238" s="525" t="s">
        <v>2099</v>
      </c>
      <c r="B238" s="400">
        <v>45366</v>
      </c>
      <c r="C238" s="247" t="s">
        <v>2086</v>
      </c>
      <c r="D238" s="434" t="s">
        <v>1975</v>
      </c>
      <c r="E238" s="402" t="s">
        <v>2087</v>
      </c>
      <c r="F238" s="435" t="s">
        <v>1983</v>
      </c>
      <c r="G238" s="436">
        <v>22300</v>
      </c>
      <c r="H238" s="192" t="s">
        <v>1744</v>
      </c>
      <c r="I238" s="191" t="s">
        <v>1228</v>
      </c>
    </row>
    <row r="239" spans="1:9" ht="45.75" customHeight="1">
      <c r="A239" s="527" t="s">
        <v>1177</v>
      </c>
      <c r="B239" s="201">
        <v>43735</v>
      </c>
      <c r="C239" s="191" t="s">
        <v>1176</v>
      </c>
      <c r="D239" s="184" t="s">
        <v>2098</v>
      </c>
      <c r="E239" s="196" t="s">
        <v>1129</v>
      </c>
      <c r="F239" s="197" t="s">
        <v>544</v>
      </c>
      <c r="G239" s="198">
        <v>21300</v>
      </c>
      <c r="H239" s="192" t="s">
        <v>1963</v>
      </c>
      <c r="I239" s="191" t="s">
        <v>1228</v>
      </c>
    </row>
    <row r="240" spans="1:9" ht="45.75" customHeight="1">
      <c r="A240" s="526" t="s">
        <v>1399</v>
      </c>
      <c r="B240" s="195">
        <v>44202</v>
      </c>
      <c r="C240" s="191" t="s">
        <v>1400</v>
      </c>
      <c r="D240" s="184" t="s">
        <v>2098</v>
      </c>
      <c r="E240" s="196" t="s">
        <v>1366</v>
      </c>
      <c r="F240" s="197" t="s">
        <v>544</v>
      </c>
      <c r="G240" s="198">
        <v>21300</v>
      </c>
      <c r="H240" s="192" t="s">
        <v>1913</v>
      </c>
      <c r="I240" s="191" t="s">
        <v>1228</v>
      </c>
    </row>
    <row r="241" spans="1:9" ht="45.75" customHeight="1">
      <c r="A241" s="524" t="s">
        <v>1664</v>
      </c>
      <c r="B241" s="195">
        <v>44614</v>
      </c>
      <c r="C241" s="214" t="s">
        <v>1665</v>
      </c>
      <c r="D241" s="184" t="s">
        <v>2352</v>
      </c>
      <c r="E241" s="196" t="s">
        <v>1666</v>
      </c>
      <c r="F241" s="326" t="s">
        <v>1554</v>
      </c>
      <c r="G241" s="198">
        <v>21500</v>
      </c>
      <c r="H241" s="192" t="s">
        <v>1745</v>
      </c>
      <c r="I241" s="191" t="s">
        <v>1228</v>
      </c>
    </row>
    <row r="242" spans="1:9" ht="45.75" customHeight="1">
      <c r="A242" s="524" t="s">
        <v>1647</v>
      </c>
      <c r="B242" s="195">
        <v>44564</v>
      </c>
      <c r="C242" s="214" t="s">
        <v>1648</v>
      </c>
      <c r="D242" s="184" t="s">
        <v>2352</v>
      </c>
      <c r="E242" s="196" t="s">
        <v>1651</v>
      </c>
      <c r="F242" s="326" t="s">
        <v>1554</v>
      </c>
      <c r="G242" s="462">
        <v>21500</v>
      </c>
      <c r="H242" s="192" t="s">
        <v>1237</v>
      </c>
      <c r="I242" s="191" t="s">
        <v>1228</v>
      </c>
    </row>
    <row r="243" spans="1:9" ht="45.75" customHeight="1">
      <c r="A243" s="526" t="s">
        <v>542</v>
      </c>
      <c r="B243" s="195">
        <v>43465</v>
      </c>
      <c r="C243" s="191" t="s">
        <v>543</v>
      </c>
      <c r="D243" s="184" t="s">
        <v>2098</v>
      </c>
      <c r="E243" s="204" t="s">
        <v>537</v>
      </c>
      <c r="F243" s="197" t="s">
        <v>544</v>
      </c>
      <c r="G243" s="198">
        <v>24100</v>
      </c>
      <c r="H243" s="192" t="s">
        <v>1235</v>
      </c>
      <c r="I243" s="191" t="s">
        <v>1228</v>
      </c>
    </row>
    <row r="244" spans="1:9" ht="45.75" customHeight="1">
      <c r="A244" s="526" t="s">
        <v>1039</v>
      </c>
      <c r="B244" s="195">
        <v>43661</v>
      </c>
      <c r="C244" s="191" t="s">
        <v>906</v>
      </c>
      <c r="D244" s="184" t="s">
        <v>2098</v>
      </c>
      <c r="E244" s="196" t="s">
        <v>865</v>
      </c>
      <c r="F244" s="197" t="s">
        <v>544</v>
      </c>
      <c r="G244" s="198">
        <v>24100</v>
      </c>
      <c r="H244" s="192" t="s">
        <v>1914</v>
      </c>
      <c r="I244" s="191" t="s">
        <v>1228</v>
      </c>
    </row>
    <row r="245" spans="1:9" ht="45.75" customHeight="1">
      <c r="A245" s="526" t="s">
        <v>1429</v>
      </c>
      <c r="B245" s="195">
        <v>44265</v>
      </c>
      <c r="C245" s="191" t="s">
        <v>1418</v>
      </c>
      <c r="D245" s="184" t="s">
        <v>2098</v>
      </c>
      <c r="E245" s="196" t="s">
        <v>1425</v>
      </c>
      <c r="F245" s="197" t="s">
        <v>1430</v>
      </c>
      <c r="G245" s="215">
        <v>14500</v>
      </c>
      <c r="H245" s="192" t="s">
        <v>1234</v>
      </c>
      <c r="I245" s="191" t="s">
        <v>1228</v>
      </c>
    </row>
    <row r="246" spans="1:9" ht="45.75" customHeight="1">
      <c r="A246" s="526" t="s">
        <v>1399</v>
      </c>
      <c r="B246" s="195">
        <v>44202</v>
      </c>
      <c r="C246" s="191" t="s">
        <v>1400</v>
      </c>
      <c r="D246" s="184" t="s">
        <v>2098</v>
      </c>
      <c r="E246" s="196" t="s">
        <v>1316</v>
      </c>
      <c r="F246" s="197" t="s">
        <v>544</v>
      </c>
      <c r="G246" s="198">
        <v>21300</v>
      </c>
      <c r="H246" s="192" t="s">
        <v>1233</v>
      </c>
      <c r="I246" s="191" t="s">
        <v>1228</v>
      </c>
    </row>
    <row r="247" spans="1:9" ht="45.75" customHeight="1">
      <c r="A247" s="526" t="s">
        <v>1483</v>
      </c>
      <c r="B247" s="195">
        <v>44266</v>
      </c>
      <c r="C247" s="191" t="s">
        <v>1482</v>
      </c>
      <c r="D247" s="184" t="s">
        <v>2098</v>
      </c>
      <c r="E247" s="196" t="s">
        <v>1406</v>
      </c>
      <c r="F247" s="197" t="s">
        <v>1409</v>
      </c>
      <c r="G247" s="198">
        <v>21300</v>
      </c>
      <c r="H247" s="192" t="s">
        <v>1999</v>
      </c>
      <c r="I247" s="191" t="s">
        <v>1228</v>
      </c>
    </row>
    <row r="248" spans="1:9" ht="45.75" customHeight="1">
      <c r="A248" s="529" t="s">
        <v>542</v>
      </c>
      <c r="B248" s="195">
        <v>43465</v>
      </c>
      <c r="C248" s="191" t="s">
        <v>543</v>
      </c>
      <c r="D248" s="184" t="s">
        <v>2098</v>
      </c>
      <c r="E248" s="204" t="s">
        <v>527</v>
      </c>
      <c r="F248" s="197" t="s">
        <v>544</v>
      </c>
      <c r="G248" s="198">
        <v>24100</v>
      </c>
      <c r="H248" s="192" t="s">
        <v>2000</v>
      </c>
      <c r="I248" s="191" t="s">
        <v>1228</v>
      </c>
    </row>
    <row r="249" spans="1:9" ht="45.75" customHeight="1">
      <c r="A249" s="525" t="s">
        <v>2111</v>
      </c>
      <c r="B249" s="400">
        <v>45373</v>
      </c>
      <c r="C249" s="247" t="s">
        <v>2086</v>
      </c>
      <c r="D249" s="434" t="s">
        <v>1975</v>
      </c>
      <c r="E249" s="402" t="s">
        <v>2104</v>
      </c>
      <c r="F249" s="435" t="s">
        <v>1983</v>
      </c>
      <c r="G249" s="436">
        <v>22300</v>
      </c>
      <c r="H249" s="192" t="s">
        <v>2001</v>
      </c>
      <c r="I249" s="191" t="s">
        <v>1228</v>
      </c>
    </row>
    <row r="250" spans="1:9" ht="45.75" customHeight="1">
      <c r="A250" s="526" t="s">
        <v>1231</v>
      </c>
      <c r="B250" s="195">
        <v>43837</v>
      </c>
      <c r="C250" s="191" t="s">
        <v>1232</v>
      </c>
      <c r="D250" s="184" t="s">
        <v>2098</v>
      </c>
      <c r="E250" s="196" t="s">
        <v>1224</v>
      </c>
      <c r="F250" s="197" t="s">
        <v>544</v>
      </c>
      <c r="G250" s="198">
        <v>21300</v>
      </c>
      <c r="H250" s="192" t="s">
        <v>2002</v>
      </c>
      <c r="I250" s="191" t="s">
        <v>1228</v>
      </c>
    </row>
    <row r="251" spans="1:9" ht="45.75" customHeight="1">
      <c r="A251" s="526" t="s">
        <v>1208</v>
      </c>
      <c r="B251" s="195">
        <v>43826</v>
      </c>
      <c r="C251" s="191" t="s">
        <v>1206</v>
      </c>
      <c r="D251" s="184" t="s">
        <v>2098</v>
      </c>
      <c r="E251" s="196" t="s">
        <v>1212</v>
      </c>
      <c r="F251" s="197" t="s">
        <v>544</v>
      </c>
      <c r="G251" s="198">
        <v>21300</v>
      </c>
      <c r="H251" s="192" t="s">
        <v>2003</v>
      </c>
      <c r="I251" s="191" t="s">
        <v>1228</v>
      </c>
    </row>
    <row r="252" spans="1:9" ht="45.75" customHeight="1">
      <c r="A252" s="526" t="s">
        <v>1197</v>
      </c>
      <c r="B252" s="195">
        <v>43794</v>
      </c>
      <c r="C252" s="191" t="s">
        <v>1187</v>
      </c>
      <c r="D252" s="184" t="s">
        <v>2098</v>
      </c>
      <c r="E252" s="196" t="s">
        <v>1186</v>
      </c>
      <c r="F252" s="197" t="s">
        <v>544</v>
      </c>
      <c r="G252" s="198">
        <v>21300</v>
      </c>
      <c r="H252" s="192" t="s">
        <v>2004</v>
      </c>
      <c r="I252" s="191" t="s">
        <v>1228</v>
      </c>
    </row>
    <row r="253" spans="1:9" ht="45.75" customHeight="1">
      <c r="A253" s="526" t="s">
        <v>1483</v>
      </c>
      <c r="B253" s="195">
        <v>44266</v>
      </c>
      <c r="C253" s="191" t="s">
        <v>1482</v>
      </c>
      <c r="D253" s="184" t="s">
        <v>2098</v>
      </c>
      <c r="E253" s="196" t="s">
        <v>1412</v>
      </c>
      <c r="F253" s="326" t="s">
        <v>1554</v>
      </c>
      <c r="G253" s="198">
        <v>21500</v>
      </c>
      <c r="H253" s="192" t="s">
        <v>2005</v>
      </c>
      <c r="I253" s="191" t="s">
        <v>1228</v>
      </c>
    </row>
    <row r="254" spans="1:9" ht="45.75" customHeight="1">
      <c r="A254" s="531" t="s">
        <v>1586</v>
      </c>
      <c r="B254" s="195">
        <v>44480</v>
      </c>
      <c r="C254" s="213" t="s">
        <v>1551</v>
      </c>
      <c r="D254" s="184" t="s">
        <v>2352</v>
      </c>
      <c r="E254" s="196" t="s">
        <v>1578</v>
      </c>
      <c r="F254" s="326" t="s">
        <v>1554</v>
      </c>
      <c r="G254" s="198">
        <v>21500</v>
      </c>
      <c r="H254" s="192" t="s">
        <v>2006</v>
      </c>
      <c r="I254" s="191" t="s">
        <v>1228</v>
      </c>
    </row>
    <row r="255" spans="1:9" ht="45.75" customHeight="1">
      <c r="A255" s="526" t="s">
        <v>1399</v>
      </c>
      <c r="B255" s="195">
        <v>44202</v>
      </c>
      <c r="C255" s="191" t="s">
        <v>1400</v>
      </c>
      <c r="D255" s="184" t="s">
        <v>2098</v>
      </c>
      <c r="E255" s="196" t="s">
        <v>1359</v>
      </c>
      <c r="F255" s="197" t="s">
        <v>544</v>
      </c>
      <c r="G255" s="198">
        <v>21300</v>
      </c>
      <c r="H255" s="192" t="s">
        <v>2007</v>
      </c>
      <c r="I255" s="191" t="s">
        <v>1228</v>
      </c>
    </row>
    <row r="256" spans="1:9" ht="45.75" customHeight="1">
      <c r="A256" s="526" t="s">
        <v>1481</v>
      </c>
      <c r="B256" s="195">
        <v>44316</v>
      </c>
      <c r="C256" s="191" t="s">
        <v>1480</v>
      </c>
      <c r="D256" s="184" t="s">
        <v>2098</v>
      </c>
      <c r="E256" s="196" t="s">
        <v>1445</v>
      </c>
      <c r="F256" s="197" t="s">
        <v>1430</v>
      </c>
      <c r="G256" s="215">
        <v>14500</v>
      </c>
      <c r="H256" s="192" t="s">
        <v>2008</v>
      </c>
      <c r="I256" s="191" t="s">
        <v>1228</v>
      </c>
    </row>
    <row r="257" spans="1:9" ht="45.75" customHeight="1">
      <c r="A257" s="529" t="s">
        <v>542</v>
      </c>
      <c r="B257" s="195">
        <v>43465</v>
      </c>
      <c r="C257" s="191" t="s">
        <v>543</v>
      </c>
      <c r="D257" s="184" t="s">
        <v>2098</v>
      </c>
      <c r="E257" s="196" t="s">
        <v>522</v>
      </c>
      <c r="F257" s="197" t="s">
        <v>544</v>
      </c>
      <c r="G257" s="198">
        <v>24100</v>
      </c>
      <c r="H257" s="192" t="s">
        <v>2278</v>
      </c>
      <c r="I257" s="191" t="s">
        <v>1759</v>
      </c>
    </row>
    <row r="258" spans="1:9" ht="45.75" customHeight="1">
      <c r="A258" s="526" t="s">
        <v>907</v>
      </c>
      <c r="B258" s="195">
        <v>43656</v>
      </c>
      <c r="C258" s="191" t="s">
        <v>906</v>
      </c>
      <c r="D258" s="184" t="s">
        <v>2098</v>
      </c>
      <c r="E258" s="196" t="s">
        <v>819</v>
      </c>
      <c r="F258" s="197" t="s">
        <v>544</v>
      </c>
      <c r="G258" s="198">
        <v>24100</v>
      </c>
      <c r="H258" s="192" t="s">
        <v>1320</v>
      </c>
      <c r="I258" s="191" t="s">
        <v>1281</v>
      </c>
    </row>
    <row r="259" spans="1:9" ht="45.75" customHeight="1">
      <c r="A259" s="526" t="s">
        <v>1395</v>
      </c>
      <c r="B259" s="195">
        <v>44180</v>
      </c>
      <c r="C259" s="191" t="s">
        <v>1394</v>
      </c>
      <c r="D259" s="184" t="s">
        <v>2098</v>
      </c>
      <c r="E259" s="196" t="s">
        <v>1306</v>
      </c>
      <c r="F259" s="197" t="s">
        <v>544</v>
      </c>
      <c r="G259" s="198">
        <v>21300</v>
      </c>
      <c r="H259" s="192" t="s">
        <v>1321</v>
      </c>
      <c r="I259" s="191" t="s">
        <v>1281</v>
      </c>
    </row>
    <row r="260" spans="1:9" ht="45.75" customHeight="1">
      <c r="A260" s="526" t="s">
        <v>1399</v>
      </c>
      <c r="B260" s="195">
        <v>44202</v>
      </c>
      <c r="C260" s="191" t="s">
        <v>1400</v>
      </c>
      <c r="D260" s="184" t="s">
        <v>2098</v>
      </c>
      <c r="E260" s="196" t="s">
        <v>1318</v>
      </c>
      <c r="F260" s="197" t="s">
        <v>544</v>
      </c>
      <c r="G260" s="198">
        <v>21300</v>
      </c>
      <c r="H260" s="192" t="s">
        <v>2183</v>
      </c>
      <c r="I260" s="191" t="s">
        <v>1281</v>
      </c>
    </row>
    <row r="261" spans="1:9" ht="45.75" customHeight="1">
      <c r="A261" s="526" t="s">
        <v>1395</v>
      </c>
      <c r="B261" s="195">
        <v>44180</v>
      </c>
      <c r="C261" s="191" t="s">
        <v>1394</v>
      </c>
      <c r="D261" s="184" t="s">
        <v>2098</v>
      </c>
      <c r="E261" s="196" t="s">
        <v>1305</v>
      </c>
      <c r="F261" s="197" t="s">
        <v>544</v>
      </c>
      <c r="G261" s="198">
        <v>21300</v>
      </c>
      <c r="H261" s="192" t="s">
        <v>1674</v>
      </c>
      <c r="I261" s="191" t="s">
        <v>1281</v>
      </c>
    </row>
    <row r="262" spans="1:9" ht="45.75" customHeight="1">
      <c r="A262" s="525" t="s">
        <v>2178</v>
      </c>
      <c r="B262" s="400">
        <v>45386</v>
      </c>
      <c r="C262" s="247" t="s">
        <v>2086</v>
      </c>
      <c r="D262" s="434" t="s">
        <v>1975</v>
      </c>
      <c r="E262" s="402" t="s">
        <v>2114</v>
      </c>
      <c r="F262" s="435" t="s">
        <v>1983</v>
      </c>
      <c r="G262" s="436">
        <v>22300</v>
      </c>
      <c r="H262" s="192" t="s">
        <v>1327</v>
      </c>
      <c r="I262" s="191" t="s">
        <v>1281</v>
      </c>
    </row>
    <row r="263" spans="1:9" ht="45.75" customHeight="1">
      <c r="A263" s="526" t="s">
        <v>1399</v>
      </c>
      <c r="B263" s="195">
        <v>44202</v>
      </c>
      <c r="C263" s="191" t="s">
        <v>1400</v>
      </c>
      <c r="D263" s="184" t="s">
        <v>2098</v>
      </c>
      <c r="E263" s="196" t="s">
        <v>1317</v>
      </c>
      <c r="F263" s="197" t="s">
        <v>544</v>
      </c>
      <c r="G263" s="198">
        <v>21300</v>
      </c>
      <c r="H263" s="192" t="s">
        <v>1328</v>
      </c>
      <c r="I263" s="191" t="s">
        <v>1281</v>
      </c>
    </row>
    <row r="264" spans="1:9" ht="45.75" customHeight="1">
      <c r="A264" s="526" t="s">
        <v>1196</v>
      </c>
      <c r="B264" s="195">
        <v>43794</v>
      </c>
      <c r="C264" s="191" t="s">
        <v>1175</v>
      </c>
      <c r="D264" s="184" t="s">
        <v>2098</v>
      </c>
      <c r="E264" s="196" t="s">
        <v>1171</v>
      </c>
      <c r="F264" s="197" t="s">
        <v>544</v>
      </c>
      <c r="G264" s="198">
        <v>21300</v>
      </c>
      <c r="H264" s="192" t="s">
        <v>1329</v>
      </c>
      <c r="I264" s="191" t="s">
        <v>1281</v>
      </c>
    </row>
    <row r="265" spans="1:9" ht="45.75" customHeight="1">
      <c r="A265" s="524" t="s">
        <v>1483</v>
      </c>
      <c r="B265" s="398">
        <v>44266</v>
      </c>
      <c r="C265" s="214" t="s">
        <v>1482</v>
      </c>
      <c r="D265" s="396" t="s">
        <v>2098</v>
      </c>
      <c r="E265" s="196" t="s">
        <v>1411</v>
      </c>
      <c r="F265" s="397" t="s">
        <v>1409</v>
      </c>
      <c r="G265" s="395">
        <v>21300</v>
      </c>
      <c r="H265" s="192" t="s">
        <v>1330</v>
      </c>
      <c r="I265" s="191" t="s">
        <v>1281</v>
      </c>
    </row>
    <row r="266" spans="1:9" ht="45.75" customHeight="1">
      <c r="A266" s="526" t="s">
        <v>1208</v>
      </c>
      <c r="B266" s="195">
        <v>43826</v>
      </c>
      <c r="C266" s="191" t="s">
        <v>1206</v>
      </c>
      <c r="D266" s="184" t="s">
        <v>2098</v>
      </c>
      <c r="E266" s="196" t="s">
        <v>1214</v>
      </c>
      <c r="F266" s="197" t="s">
        <v>544</v>
      </c>
      <c r="G266" s="198">
        <v>21300</v>
      </c>
      <c r="H266" s="192" t="s">
        <v>1331</v>
      </c>
      <c r="I266" s="191" t="s">
        <v>1281</v>
      </c>
    </row>
    <row r="267" spans="1:9" ht="45.75" customHeight="1">
      <c r="A267" s="526" t="s">
        <v>1395</v>
      </c>
      <c r="B267" s="195">
        <v>44180</v>
      </c>
      <c r="C267" s="191" t="s">
        <v>1394</v>
      </c>
      <c r="D267" s="184" t="s">
        <v>2098</v>
      </c>
      <c r="E267" s="196" t="s">
        <v>1333</v>
      </c>
      <c r="F267" s="197" t="s">
        <v>544</v>
      </c>
      <c r="G267" s="198">
        <v>21300</v>
      </c>
      <c r="H267" s="192" t="s">
        <v>1345</v>
      </c>
      <c r="I267" s="191" t="s">
        <v>1281</v>
      </c>
    </row>
    <row r="268" spans="1:9" ht="45.75" customHeight="1">
      <c r="A268" s="526" t="s">
        <v>1395</v>
      </c>
      <c r="B268" s="195">
        <v>44180</v>
      </c>
      <c r="C268" s="191" t="s">
        <v>1394</v>
      </c>
      <c r="D268" s="184" t="s">
        <v>2098</v>
      </c>
      <c r="E268" s="196" t="s">
        <v>1343</v>
      </c>
      <c r="F268" s="197" t="s">
        <v>544</v>
      </c>
      <c r="G268" s="198">
        <v>21300</v>
      </c>
      <c r="H268" s="192" t="s">
        <v>1349</v>
      </c>
      <c r="I268" s="191" t="s">
        <v>1281</v>
      </c>
    </row>
    <row r="269" spans="1:9" ht="45.75" customHeight="1">
      <c r="A269" s="526" t="s">
        <v>1395</v>
      </c>
      <c r="B269" s="195">
        <v>44180</v>
      </c>
      <c r="C269" s="191" t="s">
        <v>1394</v>
      </c>
      <c r="D269" s="184" t="s">
        <v>2098</v>
      </c>
      <c r="E269" s="196" t="s">
        <v>1304</v>
      </c>
      <c r="F269" s="197" t="s">
        <v>544</v>
      </c>
      <c r="G269" s="198">
        <v>21300</v>
      </c>
      <c r="H269" s="192" t="s">
        <v>1323</v>
      </c>
      <c r="I269" s="191" t="s">
        <v>1281</v>
      </c>
    </row>
    <row r="270" spans="1:9" ht="45.75" customHeight="1">
      <c r="A270" s="526" t="s">
        <v>1395</v>
      </c>
      <c r="B270" s="195">
        <v>44180</v>
      </c>
      <c r="C270" s="191" t="s">
        <v>1394</v>
      </c>
      <c r="D270" s="184" t="s">
        <v>2098</v>
      </c>
      <c r="E270" s="196" t="s">
        <v>1252</v>
      </c>
      <c r="F270" s="197" t="s">
        <v>544</v>
      </c>
      <c r="G270" s="198">
        <v>21300</v>
      </c>
      <c r="H270" s="192" t="s">
        <v>1324</v>
      </c>
      <c r="I270" s="191" t="s">
        <v>1281</v>
      </c>
    </row>
    <row r="271" spans="1:9" ht="45.75" customHeight="1">
      <c r="A271" s="525" t="s">
        <v>2111</v>
      </c>
      <c r="B271" s="400">
        <v>45373</v>
      </c>
      <c r="C271" s="247" t="s">
        <v>2086</v>
      </c>
      <c r="D271" s="434" t="s">
        <v>1975</v>
      </c>
      <c r="E271" s="402" t="s">
        <v>2106</v>
      </c>
      <c r="F271" s="435" t="s">
        <v>1983</v>
      </c>
      <c r="G271" s="436">
        <v>22300</v>
      </c>
      <c r="H271" s="192" t="s">
        <v>1325</v>
      </c>
      <c r="I271" s="191" t="s">
        <v>1281</v>
      </c>
    </row>
    <row r="272" spans="1:9" ht="45.75" customHeight="1">
      <c r="A272" s="526" t="s">
        <v>1395</v>
      </c>
      <c r="B272" s="195">
        <v>44180</v>
      </c>
      <c r="C272" s="191" t="s">
        <v>1394</v>
      </c>
      <c r="D272" s="184" t="s">
        <v>2098</v>
      </c>
      <c r="E272" s="196" t="s">
        <v>1303</v>
      </c>
      <c r="F272" s="197" t="s">
        <v>544</v>
      </c>
      <c r="G272" s="198">
        <v>21300</v>
      </c>
      <c r="H272" s="192" t="s">
        <v>1326</v>
      </c>
      <c r="I272" s="191" t="s">
        <v>1281</v>
      </c>
    </row>
    <row r="273" spans="1:9" ht="45.75" customHeight="1">
      <c r="A273" s="525" t="s">
        <v>2201</v>
      </c>
      <c r="B273" s="400">
        <v>45625</v>
      </c>
      <c r="C273" s="247" t="s">
        <v>2200</v>
      </c>
      <c r="D273" s="434" t="s">
        <v>1975</v>
      </c>
      <c r="E273" s="402" t="s">
        <v>2196</v>
      </c>
      <c r="F273" s="435" t="s">
        <v>1983</v>
      </c>
      <c r="G273" s="436">
        <v>22300</v>
      </c>
      <c r="H273" s="192" t="s">
        <v>1346</v>
      </c>
      <c r="I273" s="191" t="s">
        <v>1281</v>
      </c>
    </row>
    <row r="274" spans="1:9" ht="45.75" customHeight="1">
      <c r="A274" s="526" t="s">
        <v>1395</v>
      </c>
      <c r="B274" s="195">
        <v>44180</v>
      </c>
      <c r="C274" s="191" t="s">
        <v>1394</v>
      </c>
      <c r="D274" s="184" t="s">
        <v>2098</v>
      </c>
      <c r="E274" s="196" t="s">
        <v>1340</v>
      </c>
      <c r="F274" s="197" t="s">
        <v>544</v>
      </c>
      <c r="G274" s="198">
        <v>21300</v>
      </c>
      <c r="H274" s="192" t="s">
        <v>1347</v>
      </c>
      <c r="I274" s="191" t="s">
        <v>1281</v>
      </c>
    </row>
    <row r="275" spans="1:9" ht="45.75" customHeight="1">
      <c r="A275" s="526" t="s">
        <v>1395</v>
      </c>
      <c r="B275" s="195">
        <v>44180</v>
      </c>
      <c r="C275" s="191" t="s">
        <v>1394</v>
      </c>
      <c r="D275" s="184" t="s">
        <v>2098</v>
      </c>
      <c r="E275" s="196" t="s">
        <v>1334</v>
      </c>
      <c r="F275" s="197" t="s">
        <v>544</v>
      </c>
      <c r="G275" s="198">
        <v>21300</v>
      </c>
      <c r="H275" s="192" t="s">
        <v>1348</v>
      </c>
      <c r="I275" s="191" t="s">
        <v>1281</v>
      </c>
    </row>
    <row r="276" spans="1:9" ht="45.75" customHeight="1">
      <c r="A276" s="526" t="s">
        <v>1395</v>
      </c>
      <c r="B276" s="195">
        <v>44180</v>
      </c>
      <c r="C276" s="191" t="s">
        <v>1394</v>
      </c>
      <c r="D276" s="184" t="s">
        <v>2098</v>
      </c>
      <c r="E276" s="196" t="s">
        <v>1338</v>
      </c>
      <c r="F276" s="197" t="s">
        <v>544</v>
      </c>
      <c r="G276" s="198">
        <v>21300</v>
      </c>
      <c r="H276" s="192" t="s">
        <v>1355</v>
      </c>
      <c r="I276" s="191" t="s">
        <v>1281</v>
      </c>
    </row>
    <row r="277" spans="1:9" ht="45.75" customHeight="1">
      <c r="A277" s="529" t="s">
        <v>542</v>
      </c>
      <c r="B277" s="195">
        <v>43465</v>
      </c>
      <c r="C277" s="191" t="s">
        <v>543</v>
      </c>
      <c r="D277" s="184" t="s">
        <v>2098</v>
      </c>
      <c r="E277" s="196" t="s">
        <v>519</v>
      </c>
      <c r="F277" s="197" t="s">
        <v>544</v>
      </c>
      <c r="G277" s="198">
        <v>24100</v>
      </c>
      <c r="H277" s="192" t="s">
        <v>2186</v>
      </c>
      <c r="I277" s="191" t="s">
        <v>1165</v>
      </c>
    </row>
    <row r="278" spans="1:9" ht="45.75" customHeight="1">
      <c r="A278" s="526" t="s">
        <v>542</v>
      </c>
      <c r="B278" s="195">
        <v>43465</v>
      </c>
      <c r="C278" s="191" t="s">
        <v>543</v>
      </c>
      <c r="D278" s="184" t="s">
        <v>2098</v>
      </c>
      <c r="E278" s="196" t="s">
        <v>531</v>
      </c>
      <c r="F278" s="197" t="s">
        <v>544</v>
      </c>
      <c r="G278" s="198">
        <v>24100</v>
      </c>
      <c r="H278" s="192" t="s">
        <v>1448</v>
      </c>
      <c r="I278" s="191" t="s">
        <v>1188</v>
      </c>
    </row>
    <row r="279" spans="1:9" ht="45.75" customHeight="1">
      <c r="A279" s="529" t="s">
        <v>542</v>
      </c>
      <c r="B279" s="195">
        <v>43465</v>
      </c>
      <c r="C279" s="191" t="s">
        <v>543</v>
      </c>
      <c r="D279" s="184" t="s">
        <v>2098</v>
      </c>
      <c r="E279" s="204" t="s">
        <v>529</v>
      </c>
      <c r="F279" s="197" t="s">
        <v>544</v>
      </c>
      <c r="G279" s="198">
        <v>24100</v>
      </c>
      <c r="H279" s="192" t="s">
        <v>1696</v>
      </c>
      <c r="I279" s="191" t="s">
        <v>1188</v>
      </c>
    </row>
    <row r="280" spans="1:9" ht="45.75" customHeight="1">
      <c r="A280" s="526" t="s">
        <v>1399</v>
      </c>
      <c r="B280" s="195">
        <v>44202</v>
      </c>
      <c r="C280" s="191" t="s">
        <v>1400</v>
      </c>
      <c r="D280" s="184" t="s">
        <v>2098</v>
      </c>
      <c r="E280" s="196" t="s">
        <v>1362</v>
      </c>
      <c r="F280" s="197" t="s">
        <v>544</v>
      </c>
      <c r="G280" s="198">
        <v>21300</v>
      </c>
      <c r="H280" s="192" t="s">
        <v>1662</v>
      </c>
      <c r="I280" s="183" t="s">
        <v>1188</v>
      </c>
    </row>
    <row r="281" spans="1:9" ht="45.75" customHeight="1">
      <c r="A281" s="526" t="s">
        <v>1429</v>
      </c>
      <c r="B281" s="195">
        <v>44265</v>
      </c>
      <c r="C281" s="191" t="s">
        <v>1418</v>
      </c>
      <c r="D281" s="184" t="s">
        <v>2098</v>
      </c>
      <c r="E281" s="196" t="s">
        <v>1423</v>
      </c>
      <c r="F281" s="197" t="s">
        <v>1430</v>
      </c>
      <c r="G281" s="198">
        <v>14500</v>
      </c>
      <c r="H281" s="192" t="s">
        <v>2188</v>
      </c>
      <c r="I281" s="183" t="s">
        <v>1188</v>
      </c>
    </row>
    <row r="282" spans="1:9" ht="45.75" customHeight="1">
      <c r="A282" s="526" t="s">
        <v>542</v>
      </c>
      <c r="B282" s="195">
        <v>43465</v>
      </c>
      <c r="C282" s="191" t="s">
        <v>543</v>
      </c>
      <c r="D282" s="184" t="s">
        <v>2098</v>
      </c>
      <c r="E282" s="196" t="s">
        <v>524</v>
      </c>
      <c r="F282" s="197" t="s">
        <v>544</v>
      </c>
      <c r="G282" s="198">
        <v>24100</v>
      </c>
      <c r="H282" s="192" t="s">
        <v>2189</v>
      </c>
      <c r="I282" s="183" t="s">
        <v>1188</v>
      </c>
    </row>
    <row r="283" spans="1:9" ht="45.75" customHeight="1">
      <c r="A283" s="526" t="s">
        <v>1158</v>
      </c>
      <c r="B283" s="195">
        <v>43760</v>
      </c>
      <c r="C283" s="191" t="s">
        <v>1159</v>
      </c>
      <c r="D283" s="184" t="s">
        <v>2098</v>
      </c>
      <c r="E283" s="196" t="s">
        <v>1148</v>
      </c>
      <c r="F283" s="197" t="s">
        <v>544</v>
      </c>
      <c r="G283" s="198">
        <v>21300</v>
      </c>
      <c r="H283" s="192" t="s">
        <v>1735</v>
      </c>
      <c r="I283" s="183" t="s">
        <v>1188</v>
      </c>
    </row>
    <row r="284" spans="1:9" ht="45.75" customHeight="1">
      <c r="A284" s="526" t="s">
        <v>1158</v>
      </c>
      <c r="B284" s="195">
        <v>43760</v>
      </c>
      <c r="C284" s="191" t="s">
        <v>1159</v>
      </c>
      <c r="D284" s="184" t="s">
        <v>2098</v>
      </c>
      <c r="E284" s="196" t="s">
        <v>1144</v>
      </c>
      <c r="F284" s="197" t="s">
        <v>544</v>
      </c>
      <c r="G284" s="198">
        <v>21300</v>
      </c>
      <c r="H284" s="192" t="s">
        <v>1917</v>
      </c>
      <c r="I284" s="183" t="s">
        <v>1188</v>
      </c>
    </row>
    <row r="285" spans="1:9" ht="45.75" customHeight="1">
      <c r="A285" s="526" t="s">
        <v>1481</v>
      </c>
      <c r="B285" s="195">
        <v>44316</v>
      </c>
      <c r="C285" s="191" t="s">
        <v>1480</v>
      </c>
      <c r="D285" s="184" t="s">
        <v>2098</v>
      </c>
      <c r="E285" s="196" t="s">
        <v>1444</v>
      </c>
      <c r="F285" s="197" t="s">
        <v>1430</v>
      </c>
      <c r="G285" s="215">
        <v>14500</v>
      </c>
      <c r="H285" s="192" t="s">
        <v>1916</v>
      </c>
      <c r="I285" s="183" t="s">
        <v>1188</v>
      </c>
    </row>
    <row r="286" spans="1:9" ht="45.75" customHeight="1">
      <c r="A286" s="526" t="s">
        <v>1197</v>
      </c>
      <c r="B286" s="195">
        <v>43794</v>
      </c>
      <c r="C286" s="191" t="s">
        <v>1187</v>
      </c>
      <c r="D286" s="184" t="s">
        <v>2098</v>
      </c>
      <c r="E286" s="196" t="s">
        <v>1182</v>
      </c>
      <c r="F286" s="197" t="s">
        <v>544</v>
      </c>
      <c r="G286" s="198">
        <v>21300</v>
      </c>
      <c r="H286" s="192" t="s">
        <v>2190</v>
      </c>
      <c r="I286" s="183" t="s">
        <v>1188</v>
      </c>
    </row>
    <row r="287" spans="1:9" ht="45.75" customHeight="1">
      <c r="A287" s="524" t="s">
        <v>1736</v>
      </c>
      <c r="B287" s="195">
        <v>44785</v>
      </c>
      <c r="C287" s="214" t="s">
        <v>1700</v>
      </c>
      <c r="D287" s="184" t="s">
        <v>2352</v>
      </c>
      <c r="E287" s="196" t="s">
        <v>1703</v>
      </c>
      <c r="F287" s="326" t="s">
        <v>1554</v>
      </c>
      <c r="G287" s="198">
        <v>22300</v>
      </c>
      <c r="H287" s="192" t="s">
        <v>2216</v>
      </c>
      <c r="I287" s="191" t="s">
        <v>2217</v>
      </c>
    </row>
    <row r="288" spans="1:9" ht="45.75" customHeight="1">
      <c r="A288" s="526" t="s">
        <v>1208</v>
      </c>
      <c r="B288" s="195">
        <v>43826</v>
      </c>
      <c r="C288" s="191" t="s">
        <v>1206</v>
      </c>
      <c r="D288" s="184" t="s">
        <v>2098</v>
      </c>
      <c r="E288" s="196" t="s">
        <v>1210</v>
      </c>
      <c r="F288" s="197" t="s">
        <v>544</v>
      </c>
      <c r="G288" s="198">
        <v>21300</v>
      </c>
      <c r="H288" s="192" t="s">
        <v>2218</v>
      </c>
      <c r="I288" s="191" t="s">
        <v>2217</v>
      </c>
    </row>
    <row r="289" spans="1:9" ht="45.75" customHeight="1">
      <c r="A289" s="525" t="s">
        <v>2201</v>
      </c>
      <c r="B289" s="400">
        <v>45625</v>
      </c>
      <c r="C289" s="247" t="s">
        <v>2200</v>
      </c>
      <c r="D289" s="434" t="s">
        <v>1975</v>
      </c>
      <c r="E289" s="402" t="s">
        <v>2195</v>
      </c>
      <c r="F289" s="435" t="s">
        <v>1983</v>
      </c>
      <c r="G289" s="436">
        <v>22300</v>
      </c>
      <c r="H289" s="192" t="s">
        <v>2246</v>
      </c>
      <c r="I289" s="191" t="s">
        <v>2217</v>
      </c>
    </row>
    <row r="290" spans="1:9" ht="45.75" customHeight="1">
      <c r="A290" s="526" t="s">
        <v>1229</v>
      </c>
      <c r="B290" s="195">
        <v>43830</v>
      </c>
      <c r="C290" s="191" t="s">
        <v>1230</v>
      </c>
      <c r="D290" s="184" t="s">
        <v>2098</v>
      </c>
      <c r="E290" s="196" t="s">
        <v>1218</v>
      </c>
      <c r="F290" s="197" t="s">
        <v>544</v>
      </c>
      <c r="G290" s="198">
        <v>21300</v>
      </c>
      <c r="H290" s="192" t="s">
        <v>2247</v>
      </c>
      <c r="I290" s="191" t="s">
        <v>2217</v>
      </c>
    </row>
    <row r="291" spans="1:9" ht="45.75" customHeight="1">
      <c r="A291" s="526" t="s">
        <v>1231</v>
      </c>
      <c r="B291" s="195">
        <v>43837</v>
      </c>
      <c r="C291" s="191" t="s">
        <v>1232</v>
      </c>
      <c r="D291" s="184" t="s">
        <v>2098</v>
      </c>
      <c r="E291" s="196" t="s">
        <v>1223</v>
      </c>
      <c r="F291" s="197" t="s">
        <v>544</v>
      </c>
      <c r="G291" s="198">
        <v>21300</v>
      </c>
      <c r="H291" s="192" t="s">
        <v>2138</v>
      </c>
      <c r="I291" s="191" t="s">
        <v>2137</v>
      </c>
    </row>
    <row r="292" spans="1:9" ht="45.75" customHeight="1">
      <c r="A292" s="525" t="s">
        <v>2178</v>
      </c>
      <c r="B292" s="400">
        <v>45386</v>
      </c>
      <c r="C292" s="247" t="s">
        <v>2086</v>
      </c>
      <c r="D292" s="434" t="s">
        <v>1975</v>
      </c>
      <c r="E292" s="402" t="s">
        <v>2115</v>
      </c>
      <c r="F292" s="435" t="s">
        <v>1983</v>
      </c>
      <c r="G292" s="436">
        <v>22300</v>
      </c>
      <c r="H292" s="192" t="s">
        <v>2139</v>
      </c>
      <c r="I292" s="191" t="s">
        <v>2137</v>
      </c>
    </row>
    <row r="293" spans="1:9" ht="45.75" customHeight="1">
      <c r="A293" s="524" t="s">
        <v>1736</v>
      </c>
      <c r="B293" s="195">
        <v>44785</v>
      </c>
      <c r="C293" s="214" t="s">
        <v>1700</v>
      </c>
      <c r="D293" s="184" t="s">
        <v>2352</v>
      </c>
      <c r="E293" s="196" t="s">
        <v>1701</v>
      </c>
      <c r="F293" s="326" t="s">
        <v>1554</v>
      </c>
      <c r="G293" s="198">
        <v>22300</v>
      </c>
      <c r="H293" s="192" t="s">
        <v>2140</v>
      </c>
      <c r="I293" s="191" t="s">
        <v>2137</v>
      </c>
    </row>
    <row r="294" spans="1:9" ht="45.75" customHeight="1">
      <c r="A294" s="525" t="s">
        <v>2179</v>
      </c>
      <c r="B294" s="400">
        <v>45391</v>
      </c>
      <c r="C294" s="247" t="s">
        <v>2086</v>
      </c>
      <c r="D294" s="434" t="s">
        <v>1975</v>
      </c>
      <c r="E294" s="402" t="s">
        <v>2119</v>
      </c>
      <c r="F294" s="435" t="s">
        <v>1983</v>
      </c>
      <c r="G294" s="436">
        <v>22300</v>
      </c>
      <c r="H294" s="192" t="s">
        <v>2141</v>
      </c>
      <c r="I294" s="191" t="s">
        <v>2137</v>
      </c>
    </row>
    <row r="295" spans="1:9" ht="45.75" customHeight="1">
      <c r="A295" s="525" t="s">
        <v>2179</v>
      </c>
      <c r="B295" s="400">
        <v>45391</v>
      </c>
      <c r="C295" s="247" t="s">
        <v>2086</v>
      </c>
      <c r="D295" s="434" t="s">
        <v>1975</v>
      </c>
      <c r="E295" s="402" t="s">
        <v>2121</v>
      </c>
      <c r="F295" s="435" t="s">
        <v>1983</v>
      </c>
      <c r="G295" s="436">
        <v>22301</v>
      </c>
      <c r="H295" s="192" t="s">
        <v>2171</v>
      </c>
      <c r="I295" s="191" t="s">
        <v>2137</v>
      </c>
    </row>
    <row r="296" spans="1:9" ht="45.75" customHeight="1">
      <c r="A296" s="525" t="s">
        <v>2026</v>
      </c>
      <c r="B296" s="400">
        <v>45237</v>
      </c>
      <c r="C296" s="247" t="s">
        <v>1974</v>
      </c>
      <c r="D296" s="434" t="s">
        <v>1975</v>
      </c>
      <c r="E296" s="402" t="s">
        <v>2018</v>
      </c>
      <c r="F296" s="435" t="s">
        <v>1983</v>
      </c>
      <c r="G296" s="436">
        <v>22300</v>
      </c>
      <c r="H296" s="192" t="s">
        <v>2144</v>
      </c>
      <c r="I296" s="191" t="s">
        <v>2145</v>
      </c>
    </row>
    <row r="297" spans="1:9" ht="45.75" customHeight="1">
      <c r="A297" s="525" t="s">
        <v>2026</v>
      </c>
      <c r="B297" s="400">
        <v>45237</v>
      </c>
      <c r="C297" s="247" t="s">
        <v>1974</v>
      </c>
      <c r="D297" s="434" t="s">
        <v>1975</v>
      </c>
      <c r="E297" s="402" t="s">
        <v>2021</v>
      </c>
      <c r="F297" s="435" t="s">
        <v>1983</v>
      </c>
      <c r="G297" s="436">
        <v>22300</v>
      </c>
      <c r="H297" s="192" t="s">
        <v>2146</v>
      </c>
      <c r="I297" s="191" t="s">
        <v>2145</v>
      </c>
    </row>
    <row r="298" spans="1:9" ht="45.75" customHeight="1">
      <c r="A298" s="526" t="s">
        <v>1438</v>
      </c>
      <c r="B298" s="195">
        <v>44280</v>
      </c>
      <c r="C298" s="191" t="s">
        <v>1439</v>
      </c>
      <c r="D298" s="184" t="s">
        <v>2098</v>
      </c>
      <c r="E298" s="196" t="s">
        <v>1437</v>
      </c>
      <c r="F298" s="197" t="s">
        <v>1430</v>
      </c>
      <c r="G298" s="215">
        <v>14500</v>
      </c>
      <c r="H298" s="192" t="s">
        <v>2147</v>
      </c>
      <c r="I298" s="191" t="s">
        <v>2145</v>
      </c>
    </row>
    <row r="299" spans="1:9" ht="45.75" customHeight="1">
      <c r="A299" s="526" t="s">
        <v>1231</v>
      </c>
      <c r="B299" s="195">
        <v>43837</v>
      </c>
      <c r="C299" s="191" t="s">
        <v>1232</v>
      </c>
      <c r="D299" s="184" t="s">
        <v>2098</v>
      </c>
      <c r="E299" s="196" t="s">
        <v>1221</v>
      </c>
      <c r="F299" s="197" t="s">
        <v>544</v>
      </c>
      <c r="G299" s="198">
        <v>21300</v>
      </c>
      <c r="H299" s="192" t="s">
        <v>2148</v>
      </c>
      <c r="I299" s="191" t="s">
        <v>2145</v>
      </c>
    </row>
    <row r="300" spans="1:9" ht="45.75" customHeight="1">
      <c r="A300" s="526" t="s">
        <v>1399</v>
      </c>
      <c r="B300" s="195">
        <v>44202</v>
      </c>
      <c r="C300" s="191" t="s">
        <v>1400</v>
      </c>
      <c r="D300" s="184" t="s">
        <v>2098</v>
      </c>
      <c r="E300" s="196" t="s">
        <v>1367</v>
      </c>
      <c r="F300" s="197" t="s">
        <v>544</v>
      </c>
      <c r="G300" s="198">
        <v>21500</v>
      </c>
      <c r="H300" s="192" t="s">
        <v>2208</v>
      </c>
      <c r="I300" s="191" t="s">
        <v>2207</v>
      </c>
    </row>
    <row r="301" spans="1:9" ht="45.75" customHeight="1">
      <c r="A301" s="529" t="s">
        <v>542</v>
      </c>
      <c r="B301" s="195">
        <v>43465</v>
      </c>
      <c r="C301" s="191" t="s">
        <v>543</v>
      </c>
      <c r="D301" s="184" t="s">
        <v>2098</v>
      </c>
      <c r="E301" s="204" t="s">
        <v>538</v>
      </c>
      <c r="F301" s="197" t="s">
        <v>544</v>
      </c>
      <c r="G301" s="198">
        <v>24100</v>
      </c>
      <c r="H301" s="192" t="s">
        <v>2209</v>
      </c>
      <c r="I301" s="191" t="s">
        <v>2207</v>
      </c>
    </row>
    <row r="302" spans="1:9" ht="45.75" customHeight="1">
      <c r="A302" s="529" t="s">
        <v>1982</v>
      </c>
      <c r="B302" s="195">
        <v>45219</v>
      </c>
      <c r="C302" s="191" t="s">
        <v>1974</v>
      </c>
      <c r="D302" s="184" t="s">
        <v>1850</v>
      </c>
      <c r="E302" s="204" t="s">
        <v>1993</v>
      </c>
      <c r="F302" s="197" t="s">
        <v>1984</v>
      </c>
      <c r="G302" s="198">
        <v>16500</v>
      </c>
      <c r="H302" s="192" t="s">
        <v>2212</v>
      </c>
      <c r="I302" s="191" t="s">
        <v>2207</v>
      </c>
    </row>
    <row r="303" spans="1:9" ht="45.75" customHeight="1">
      <c r="A303" s="529" t="s">
        <v>1982</v>
      </c>
      <c r="B303" s="195">
        <v>45219</v>
      </c>
      <c r="C303" s="191" t="s">
        <v>1974</v>
      </c>
      <c r="D303" s="184" t="s">
        <v>1850</v>
      </c>
      <c r="E303" s="204" t="s">
        <v>1989</v>
      </c>
      <c r="F303" s="197" t="s">
        <v>1984</v>
      </c>
      <c r="G303" s="198">
        <v>16500</v>
      </c>
      <c r="H303" s="192" t="s">
        <v>2213</v>
      </c>
      <c r="I303" s="191" t="s">
        <v>2207</v>
      </c>
    </row>
    <row r="304" spans="1:9" ht="45.75" customHeight="1">
      <c r="A304" s="525" t="s">
        <v>2026</v>
      </c>
      <c r="B304" s="400">
        <v>45237</v>
      </c>
      <c r="C304" s="247" t="s">
        <v>1974</v>
      </c>
      <c r="D304" s="434" t="s">
        <v>1975</v>
      </c>
      <c r="E304" s="402" t="s">
        <v>2022</v>
      </c>
      <c r="F304" s="435" t="s">
        <v>1983</v>
      </c>
      <c r="G304" s="436">
        <v>22300</v>
      </c>
      <c r="H304" s="192" t="s">
        <v>2080</v>
      </c>
      <c r="I304" s="191" t="s">
        <v>2074</v>
      </c>
    </row>
    <row r="305" spans="1:9" ht="45.75" customHeight="1">
      <c r="A305" s="526" t="s">
        <v>1399</v>
      </c>
      <c r="B305" s="195">
        <v>44202</v>
      </c>
      <c r="C305" s="191" t="s">
        <v>1400</v>
      </c>
      <c r="D305" s="184" t="s">
        <v>2098</v>
      </c>
      <c r="E305" s="196" t="s">
        <v>1361</v>
      </c>
      <c r="F305" s="197" t="s">
        <v>544</v>
      </c>
      <c r="G305" s="198">
        <v>21300</v>
      </c>
      <c r="H305" s="192" t="s">
        <v>2081</v>
      </c>
      <c r="I305" s="191" t="s">
        <v>2074</v>
      </c>
    </row>
    <row r="306" spans="1:9" ht="45.75" customHeight="1">
      <c r="A306" s="524" t="s">
        <v>1854</v>
      </c>
      <c r="B306" s="398">
        <v>44953</v>
      </c>
      <c r="C306" s="214" t="s">
        <v>1849</v>
      </c>
      <c r="D306" s="396" t="s">
        <v>1850</v>
      </c>
      <c r="E306" s="196" t="s">
        <v>1858</v>
      </c>
      <c r="F306" s="397" t="s">
        <v>1852</v>
      </c>
      <c r="G306" s="395">
        <v>16500</v>
      </c>
      <c r="H306" s="192" t="s">
        <v>1954</v>
      </c>
      <c r="I306" s="206" t="s">
        <v>1845</v>
      </c>
    </row>
    <row r="307" spans="1:9" ht="45.75" customHeight="1">
      <c r="A307" s="526" t="s">
        <v>287</v>
      </c>
      <c r="B307" s="195" t="s">
        <v>288</v>
      </c>
      <c r="C307" s="202" t="s">
        <v>289</v>
      </c>
      <c r="D307" s="184" t="s">
        <v>41</v>
      </c>
      <c r="E307" s="204">
        <v>103169</v>
      </c>
      <c r="F307" s="197" t="s">
        <v>541</v>
      </c>
      <c r="G307" s="198">
        <v>22575</v>
      </c>
      <c r="H307" s="192" t="s">
        <v>1940</v>
      </c>
      <c r="I307" s="191" t="s">
        <v>1845</v>
      </c>
    </row>
    <row r="308" spans="1:9" ht="45.75" customHeight="1">
      <c r="A308" s="526" t="s">
        <v>290</v>
      </c>
      <c r="B308" s="195">
        <v>41093</v>
      </c>
      <c r="C308" s="191" t="s">
        <v>291</v>
      </c>
      <c r="D308" s="184" t="s">
        <v>39</v>
      </c>
      <c r="E308" s="196" t="s">
        <v>64</v>
      </c>
      <c r="F308" s="197" t="s">
        <v>547</v>
      </c>
      <c r="G308" s="198">
        <v>26250</v>
      </c>
      <c r="H308" s="192" t="s">
        <v>1803</v>
      </c>
      <c r="I308" s="191" t="s">
        <v>1705</v>
      </c>
    </row>
    <row r="309" spans="1:9" ht="45.75" customHeight="1">
      <c r="A309" s="529" t="s">
        <v>278</v>
      </c>
      <c r="B309" s="195">
        <v>39818</v>
      </c>
      <c r="C309" s="191" t="s">
        <v>279</v>
      </c>
      <c r="D309" s="184" t="s">
        <v>52</v>
      </c>
      <c r="E309" s="196" t="s">
        <v>131</v>
      </c>
      <c r="F309" s="197" t="s">
        <v>541</v>
      </c>
      <c r="G309" s="198">
        <v>21500</v>
      </c>
      <c r="H309" s="192" t="s">
        <v>1804</v>
      </c>
      <c r="I309" s="191" t="s">
        <v>1705</v>
      </c>
    </row>
    <row r="310" spans="1:9" ht="45.75" customHeight="1">
      <c r="A310" s="530" t="s">
        <v>332</v>
      </c>
      <c r="B310" s="195">
        <v>41360</v>
      </c>
      <c r="C310" s="191" t="s">
        <v>333</v>
      </c>
      <c r="D310" s="184" t="s">
        <v>112</v>
      </c>
      <c r="E310" s="196" t="s">
        <v>117</v>
      </c>
      <c r="F310" s="197" t="s">
        <v>334</v>
      </c>
      <c r="G310" s="207">
        <v>20000</v>
      </c>
      <c r="H310" s="192" t="s">
        <v>1805</v>
      </c>
      <c r="I310" s="191" t="s">
        <v>1705</v>
      </c>
    </row>
    <row r="311" spans="1:9" ht="45.75" customHeight="1">
      <c r="A311" s="526" t="s">
        <v>270</v>
      </c>
      <c r="B311" s="195">
        <v>39737</v>
      </c>
      <c r="C311" s="191" t="s">
        <v>271</v>
      </c>
      <c r="D311" s="184" t="s">
        <v>52</v>
      </c>
      <c r="E311" s="196" t="s">
        <v>98</v>
      </c>
      <c r="F311" s="197" t="s">
        <v>541</v>
      </c>
      <c r="G311" s="198">
        <v>21500</v>
      </c>
      <c r="H311" s="192" t="s">
        <v>1809</v>
      </c>
      <c r="I311" s="191" t="s">
        <v>1705</v>
      </c>
    </row>
    <row r="312" spans="1:9" ht="45.75" customHeight="1">
      <c r="A312" s="530" t="s">
        <v>332</v>
      </c>
      <c r="B312" s="195">
        <v>41360</v>
      </c>
      <c r="C312" s="191" t="s">
        <v>333</v>
      </c>
      <c r="D312" s="184" t="s">
        <v>112</v>
      </c>
      <c r="E312" s="196" t="s">
        <v>126</v>
      </c>
      <c r="F312" s="197" t="s">
        <v>334</v>
      </c>
      <c r="G312" s="207">
        <v>20000</v>
      </c>
      <c r="H312" s="192" t="s">
        <v>1810</v>
      </c>
      <c r="I312" s="191" t="s">
        <v>1705</v>
      </c>
    </row>
    <row r="313" spans="1:9" ht="45.75" customHeight="1">
      <c r="A313" s="526" t="s">
        <v>330</v>
      </c>
      <c r="B313" s="195">
        <v>40939</v>
      </c>
      <c r="C313" s="191" t="s">
        <v>331</v>
      </c>
      <c r="D313" s="184" t="s">
        <v>39</v>
      </c>
      <c r="E313" s="204">
        <v>101374</v>
      </c>
      <c r="F313" s="197" t="s">
        <v>547</v>
      </c>
      <c r="G313" s="198">
        <v>26250</v>
      </c>
      <c r="H313" s="192" t="s">
        <v>1808</v>
      </c>
      <c r="I313" s="191" t="s">
        <v>1705</v>
      </c>
    </row>
    <row r="314" spans="1:9" ht="45.75" customHeight="1">
      <c r="A314" s="526" t="s">
        <v>1196</v>
      </c>
      <c r="B314" s="195">
        <v>43794</v>
      </c>
      <c r="C314" s="191" t="s">
        <v>1175</v>
      </c>
      <c r="D314" s="184" t="s">
        <v>2098</v>
      </c>
      <c r="E314" s="196" t="s">
        <v>1173</v>
      </c>
      <c r="F314" s="197" t="s">
        <v>544</v>
      </c>
      <c r="G314" s="198">
        <v>21300</v>
      </c>
      <c r="H314" s="192" t="s">
        <v>1440</v>
      </c>
      <c r="I314" s="191" t="s">
        <v>1397</v>
      </c>
    </row>
    <row r="315" spans="1:9" ht="45.75" customHeight="1">
      <c r="A315" s="526" t="s">
        <v>1039</v>
      </c>
      <c r="B315" s="195">
        <v>43661</v>
      </c>
      <c r="C315" s="191" t="s">
        <v>906</v>
      </c>
      <c r="D315" s="184" t="s">
        <v>2098</v>
      </c>
      <c r="E315" s="196" t="s">
        <v>859</v>
      </c>
      <c r="F315" s="197" t="s">
        <v>544</v>
      </c>
      <c r="G315" s="198">
        <v>24100</v>
      </c>
      <c r="H315" s="192" t="s">
        <v>1392</v>
      </c>
      <c r="I315" s="191" t="s">
        <v>1397</v>
      </c>
    </row>
    <row r="316" spans="1:9" ht="45.75" customHeight="1">
      <c r="A316" s="529" t="s">
        <v>542</v>
      </c>
      <c r="B316" s="195">
        <v>43465</v>
      </c>
      <c r="C316" s="191" t="s">
        <v>543</v>
      </c>
      <c r="D316" s="184" t="s">
        <v>2098</v>
      </c>
      <c r="E316" s="204" t="s">
        <v>530</v>
      </c>
      <c r="F316" s="197" t="s">
        <v>544</v>
      </c>
      <c r="G316" s="198">
        <v>24100</v>
      </c>
      <c r="H316" s="192" t="s">
        <v>1393</v>
      </c>
      <c r="I316" s="191" t="s">
        <v>1397</v>
      </c>
    </row>
    <row r="317" spans="1:9" ht="45.75" customHeight="1">
      <c r="A317" s="526" t="s">
        <v>324</v>
      </c>
      <c r="B317" s="195">
        <v>40899</v>
      </c>
      <c r="C317" s="191" t="s">
        <v>325</v>
      </c>
      <c r="D317" s="184" t="s">
        <v>39</v>
      </c>
      <c r="E317" s="196" t="s">
        <v>51</v>
      </c>
      <c r="F317" s="197" t="s">
        <v>547</v>
      </c>
      <c r="G317" s="198">
        <v>26250</v>
      </c>
      <c r="H317" s="192" t="s">
        <v>2076</v>
      </c>
      <c r="I317" s="191" t="s">
        <v>2075</v>
      </c>
    </row>
    <row r="318" spans="1:9" ht="45.75" customHeight="1">
      <c r="A318" s="526" t="s">
        <v>314</v>
      </c>
      <c r="B318" s="183" t="s">
        <v>315</v>
      </c>
      <c r="C318" s="183" t="s">
        <v>289</v>
      </c>
      <c r="D318" s="184" t="s">
        <v>52</v>
      </c>
      <c r="E318" s="196" t="s">
        <v>166</v>
      </c>
      <c r="F318" s="197" t="s">
        <v>541</v>
      </c>
      <c r="G318" s="198">
        <v>22575</v>
      </c>
      <c r="H318" s="192" t="s">
        <v>2077</v>
      </c>
      <c r="I318" s="191" t="s">
        <v>2075</v>
      </c>
    </row>
    <row r="319" spans="1:9" ht="45.75" customHeight="1">
      <c r="A319" s="529" t="s">
        <v>305</v>
      </c>
      <c r="B319" s="195">
        <v>39570</v>
      </c>
      <c r="C319" s="191" t="s">
        <v>306</v>
      </c>
      <c r="D319" s="184" t="s">
        <v>41</v>
      </c>
      <c r="E319" s="469" t="s">
        <v>74</v>
      </c>
      <c r="F319" s="197" t="s">
        <v>546</v>
      </c>
      <c r="G319" s="198">
        <v>21500</v>
      </c>
      <c r="H319" s="192" t="s">
        <v>2078</v>
      </c>
      <c r="I319" s="191" t="s">
        <v>2075</v>
      </c>
    </row>
    <row r="320" spans="1:9" ht="45.75" customHeight="1">
      <c r="A320" s="526" t="s">
        <v>285</v>
      </c>
      <c r="B320" s="195">
        <v>39615</v>
      </c>
      <c r="C320" s="191" t="s">
        <v>286</v>
      </c>
      <c r="D320" s="184" t="s">
        <v>52</v>
      </c>
      <c r="E320" s="196">
        <v>101751</v>
      </c>
      <c r="F320" s="197" t="s">
        <v>541</v>
      </c>
      <c r="G320" s="198">
        <v>21500</v>
      </c>
      <c r="H320" s="192" t="s">
        <v>2079</v>
      </c>
      <c r="I320" s="191" t="s">
        <v>2075</v>
      </c>
    </row>
    <row r="321" spans="1:9" ht="45.75" customHeight="1">
      <c r="A321" s="529" t="s">
        <v>307</v>
      </c>
      <c r="B321" s="195">
        <v>41277</v>
      </c>
      <c r="C321" s="183" t="s">
        <v>308</v>
      </c>
      <c r="D321" s="184" t="s">
        <v>39</v>
      </c>
      <c r="E321" s="196" t="s">
        <v>105</v>
      </c>
      <c r="F321" s="197" t="s">
        <v>547</v>
      </c>
      <c r="G321" s="198">
        <v>26250</v>
      </c>
      <c r="H321" s="192" t="s">
        <v>1479</v>
      </c>
      <c r="I321" s="191" t="s">
        <v>1479</v>
      </c>
    </row>
    <row r="322" spans="1:9" ht="45.75" customHeight="1">
      <c r="A322" s="529" t="s">
        <v>342</v>
      </c>
      <c r="B322" s="195">
        <v>41243</v>
      </c>
      <c r="C322" s="191" t="s">
        <v>343</v>
      </c>
      <c r="D322" s="184" t="s">
        <v>39</v>
      </c>
      <c r="E322" s="196" t="s">
        <v>111</v>
      </c>
      <c r="F322" s="197" t="s">
        <v>335</v>
      </c>
      <c r="G322" s="207">
        <v>23500</v>
      </c>
      <c r="H322" s="192" t="s">
        <v>1479</v>
      </c>
      <c r="I322" s="191" t="s">
        <v>1479</v>
      </c>
    </row>
    <row r="323" spans="1:9" ht="45.75" customHeight="1">
      <c r="A323" s="530" t="s">
        <v>332</v>
      </c>
      <c r="B323" s="195">
        <v>41360</v>
      </c>
      <c r="C323" s="183" t="s">
        <v>333</v>
      </c>
      <c r="D323" s="184" t="s">
        <v>39</v>
      </c>
      <c r="E323" s="204">
        <v>102288</v>
      </c>
      <c r="F323" s="197" t="s">
        <v>335</v>
      </c>
      <c r="G323" s="207">
        <v>20000</v>
      </c>
      <c r="H323" s="192" t="s">
        <v>1479</v>
      </c>
      <c r="I323" s="191" t="s">
        <v>1479</v>
      </c>
    </row>
    <row r="324" spans="1:9" ht="45.75" customHeight="1">
      <c r="A324" s="533" t="s">
        <v>337</v>
      </c>
      <c r="B324" s="195">
        <v>39444</v>
      </c>
      <c r="C324" s="191" t="s">
        <v>338</v>
      </c>
      <c r="D324" s="184" t="s">
        <v>41</v>
      </c>
      <c r="E324" s="483">
        <v>101018</v>
      </c>
      <c r="F324" s="197" t="s">
        <v>546</v>
      </c>
      <c r="G324" s="198">
        <v>21500</v>
      </c>
      <c r="H324" s="192" t="s">
        <v>175</v>
      </c>
      <c r="I324" s="468">
        <v>45272</v>
      </c>
    </row>
    <row r="325" spans="1:9" ht="45.75" customHeight="1">
      <c r="A325" s="534" t="s">
        <v>337</v>
      </c>
      <c r="B325" s="195">
        <v>39444</v>
      </c>
      <c r="C325" s="183" t="s">
        <v>338</v>
      </c>
      <c r="D325" s="184" t="s">
        <v>41</v>
      </c>
      <c r="E325" s="204">
        <v>101143</v>
      </c>
      <c r="F325" s="197" t="s">
        <v>545</v>
      </c>
      <c r="G325" s="198">
        <v>21500</v>
      </c>
      <c r="H325" s="192" t="s">
        <v>175</v>
      </c>
      <c r="I325" s="468">
        <v>45272</v>
      </c>
    </row>
    <row r="326" spans="1:9" ht="45.75" customHeight="1">
      <c r="A326" s="533" t="s">
        <v>305</v>
      </c>
      <c r="B326" s="195">
        <v>39570</v>
      </c>
      <c r="C326" s="183" t="s">
        <v>306</v>
      </c>
      <c r="D326" s="184" t="s">
        <v>41</v>
      </c>
      <c r="E326" s="196" t="s">
        <v>67</v>
      </c>
      <c r="F326" s="197" t="s">
        <v>546</v>
      </c>
      <c r="G326" s="198">
        <v>21500</v>
      </c>
      <c r="H326" s="192" t="s">
        <v>175</v>
      </c>
      <c r="I326" s="468">
        <v>45811</v>
      </c>
    </row>
    <row r="327" spans="1:9" ht="45.75" customHeight="1">
      <c r="A327" s="533" t="s">
        <v>285</v>
      </c>
      <c r="B327" s="195">
        <v>39615</v>
      </c>
      <c r="C327" s="183" t="s">
        <v>286</v>
      </c>
      <c r="D327" s="184" t="s">
        <v>52</v>
      </c>
      <c r="E327" s="196" t="s">
        <v>91</v>
      </c>
      <c r="F327" s="197" t="s">
        <v>541</v>
      </c>
      <c r="G327" s="198">
        <v>21500</v>
      </c>
      <c r="H327" s="192" t="s">
        <v>175</v>
      </c>
      <c r="I327" s="468">
        <v>45743</v>
      </c>
    </row>
    <row r="328" spans="1:9" ht="45.75" customHeight="1">
      <c r="A328" s="534" t="s">
        <v>278</v>
      </c>
      <c r="B328" s="195">
        <v>39818</v>
      </c>
      <c r="C328" s="191" t="s">
        <v>279</v>
      </c>
      <c r="D328" s="184" t="s">
        <v>52</v>
      </c>
      <c r="E328" s="204">
        <v>102287</v>
      </c>
      <c r="F328" s="197" t="s">
        <v>541</v>
      </c>
      <c r="G328" s="198">
        <v>21500</v>
      </c>
      <c r="H328" s="192" t="s">
        <v>175</v>
      </c>
      <c r="I328" s="468">
        <v>45743</v>
      </c>
    </row>
    <row r="329" spans="1:9" ht="45.75" customHeight="1">
      <c r="A329" s="533" t="s">
        <v>278</v>
      </c>
      <c r="B329" s="195">
        <v>39818</v>
      </c>
      <c r="C329" s="191" t="s">
        <v>279</v>
      </c>
      <c r="D329" s="184" t="s">
        <v>52</v>
      </c>
      <c r="E329" s="196" t="s">
        <v>135</v>
      </c>
      <c r="F329" s="197" t="s">
        <v>541</v>
      </c>
      <c r="G329" s="198">
        <v>21500</v>
      </c>
      <c r="H329" s="192" t="s">
        <v>175</v>
      </c>
      <c r="I329" s="468">
        <v>45509</v>
      </c>
    </row>
    <row r="330" spans="1:9" ht="45.75" customHeight="1">
      <c r="A330" s="533" t="s">
        <v>299</v>
      </c>
      <c r="B330" s="195">
        <v>40073</v>
      </c>
      <c r="C330" s="191" t="s">
        <v>300</v>
      </c>
      <c r="D330" s="184" t="s">
        <v>52</v>
      </c>
      <c r="E330" s="196" t="s">
        <v>156</v>
      </c>
      <c r="F330" s="197" t="s">
        <v>541</v>
      </c>
      <c r="G330" s="198">
        <v>21500</v>
      </c>
      <c r="H330" s="192" t="s">
        <v>175</v>
      </c>
      <c r="I330" s="468">
        <v>45509</v>
      </c>
    </row>
    <row r="331" spans="1:9" ht="45.75" customHeight="1">
      <c r="A331" s="534" t="s">
        <v>321</v>
      </c>
      <c r="B331" s="183" t="s">
        <v>322</v>
      </c>
      <c r="C331" s="191" t="s">
        <v>323</v>
      </c>
      <c r="D331" s="184" t="s">
        <v>52</v>
      </c>
      <c r="E331" s="204">
        <v>103166</v>
      </c>
      <c r="F331" s="197" t="s">
        <v>541</v>
      </c>
      <c r="G331" s="198">
        <v>22575</v>
      </c>
      <c r="H331" s="192" t="s">
        <v>175</v>
      </c>
      <c r="I331" s="468">
        <v>45275</v>
      </c>
    </row>
    <row r="332" spans="1:9" ht="45.75" customHeight="1">
      <c r="A332" s="534" t="s">
        <v>542</v>
      </c>
      <c r="B332" s="195">
        <v>43465</v>
      </c>
      <c r="C332" s="191" t="s">
        <v>543</v>
      </c>
      <c r="D332" s="184" t="s">
        <v>2098</v>
      </c>
      <c r="E332" s="204" t="s">
        <v>520</v>
      </c>
      <c r="F332" s="197" t="s">
        <v>544</v>
      </c>
      <c r="G332" s="198">
        <v>24100</v>
      </c>
      <c r="H332" s="192" t="s">
        <v>175</v>
      </c>
      <c r="I332" s="468">
        <v>46010</v>
      </c>
    </row>
    <row r="333" spans="1:9" ht="45.75" customHeight="1">
      <c r="A333" s="533" t="s">
        <v>542</v>
      </c>
      <c r="B333" s="195">
        <v>43465</v>
      </c>
      <c r="C333" s="191" t="s">
        <v>543</v>
      </c>
      <c r="D333" s="184" t="s">
        <v>2098</v>
      </c>
      <c r="E333" s="204" t="s">
        <v>535</v>
      </c>
      <c r="F333" s="197" t="s">
        <v>544</v>
      </c>
      <c r="G333" s="198">
        <v>24100</v>
      </c>
      <c r="H333" s="192" t="s">
        <v>175</v>
      </c>
      <c r="I333" s="468">
        <v>46015</v>
      </c>
    </row>
    <row r="334" spans="1:9" ht="45.75" customHeight="1">
      <c r="A334" s="533" t="s">
        <v>1429</v>
      </c>
      <c r="B334" s="195">
        <v>44265</v>
      </c>
      <c r="C334" s="191" t="s">
        <v>1418</v>
      </c>
      <c r="D334" s="184" t="s">
        <v>2098</v>
      </c>
      <c r="E334" s="196" t="s">
        <v>1421</v>
      </c>
      <c r="F334" s="197" t="s">
        <v>1430</v>
      </c>
      <c r="G334" s="215">
        <v>14500</v>
      </c>
      <c r="H334" s="192" t="s">
        <v>175</v>
      </c>
      <c r="I334" s="468">
        <v>46010</v>
      </c>
    </row>
    <row r="335" spans="1:9" ht="45.75" customHeight="1">
      <c r="A335" s="535" t="s">
        <v>1586</v>
      </c>
      <c r="B335" s="195">
        <v>44480</v>
      </c>
      <c r="C335" s="206" t="s">
        <v>1551</v>
      </c>
      <c r="D335" s="184" t="s">
        <v>257</v>
      </c>
      <c r="E335" s="196" t="s">
        <v>1571</v>
      </c>
      <c r="F335" s="326" t="s">
        <v>1559</v>
      </c>
      <c r="G335" s="198">
        <v>11215</v>
      </c>
      <c r="H335" s="192" t="s">
        <v>175</v>
      </c>
      <c r="I335" s="468">
        <v>46015</v>
      </c>
    </row>
    <row r="336" spans="1:9" ht="45.75" customHeight="1">
      <c r="A336" s="538" t="s">
        <v>1199</v>
      </c>
      <c r="B336" s="195">
        <v>43805</v>
      </c>
      <c r="C336" s="191" t="s">
        <v>1195</v>
      </c>
      <c r="D336" s="184" t="s">
        <v>2098</v>
      </c>
      <c r="E336" s="196" t="s">
        <v>1192</v>
      </c>
      <c r="F336" s="197" t="s">
        <v>544</v>
      </c>
      <c r="G336" s="198">
        <v>21300</v>
      </c>
      <c r="H336" s="192" t="s">
        <v>2316</v>
      </c>
      <c r="I336" s="191" t="s">
        <v>2192</v>
      </c>
    </row>
    <row r="337" spans="1:9" ht="45.75" customHeight="1">
      <c r="A337" s="539" t="s">
        <v>1982</v>
      </c>
      <c r="B337" s="400">
        <v>45219</v>
      </c>
      <c r="C337" s="247" t="s">
        <v>1974</v>
      </c>
      <c r="D337" s="434" t="s">
        <v>1850</v>
      </c>
      <c r="E337" s="204" t="s">
        <v>1988</v>
      </c>
      <c r="F337" s="435" t="s">
        <v>1984</v>
      </c>
      <c r="G337" s="436">
        <v>16500</v>
      </c>
      <c r="H337" s="192" t="s">
        <v>2317</v>
      </c>
      <c r="I337" s="191" t="s">
        <v>2238</v>
      </c>
    </row>
    <row r="338" spans="1:9" ht="45.75" customHeight="1">
      <c r="A338" s="539" t="s">
        <v>1982</v>
      </c>
      <c r="B338" s="400">
        <v>45219</v>
      </c>
      <c r="C338" s="247" t="s">
        <v>1974</v>
      </c>
      <c r="D338" s="434" t="s">
        <v>1850</v>
      </c>
      <c r="E338" s="204" t="s">
        <v>1991</v>
      </c>
      <c r="F338" s="435" t="s">
        <v>1984</v>
      </c>
      <c r="G338" s="436">
        <v>16500</v>
      </c>
      <c r="H338" s="192" t="s">
        <v>2317</v>
      </c>
      <c r="I338" s="191" t="s">
        <v>2219</v>
      </c>
    </row>
    <row r="339" spans="1:9" ht="45.75" customHeight="1">
      <c r="A339" s="539" t="s">
        <v>332</v>
      </c>
      <c r="B339" s="400">
        <v>41360</v>
      </c>
      <c r="C339" s="247" t="s">
        <v>333</v>
      </c>
      <c r="D339" s="434" t="s">
        <v>112</v>
      </c>
      <c r="E339" s="204" t="s">
        <v>116</v>
      </c>
      <c r="F339" s="435" t="s">
        <v>334</v>
      </c>
      <c r="G339" s="436">
        <v>20000</v>
      </c>
      <c r="H339" s="192" t="s">
        <v>2324</v>
      </c>
      <c r="I339" s="191" t="s">
        <v>2323</v>
      </c>
    </row>
    <row r="340" spans="1:9" ht="45.75" customHeight="1">
      <c r="A340" s="540" t="s">
        <v>542</v>
      </c>
      <c r="B340" s="195">
        <v>43465</v>
      </c>
      <c r="C340" s="191" t="s">
        <v>543</v>
      </c>
      <c r="D340" s="184" t="s">
        <v>2098</v>
      </c>
      <c r="E340" s="196" t="s">
        <v>523</v>
      </c>
      <c r="F340" s="197" t="s">
        <v>544</v>
      </c>
      <c r="G340" s="198">
        <v>24100</v>
      </c>
      <c r="H340" s="192" t="s">
        <v>2324</v>
      </c>
      <c r="I340" s="191" t="s">
        <v>2315</v>
      </c>
    </row>
    <row r="341" spans="1:9" ht="45.75" customHeight="1">
      <c r="A341" s="539" t="s">
        <v>2178</v>
      </c>
      <c r="B341" s="400">
        <v>45386</v>
      </c>
      <c r="C341" s="247" t="s">
        <v>2086</v>
      </c>
      <c r="D341" s="434" t="s">
        <v>1975</v>
      </c>
      <c r="E341" s="402" t="s">
        <v>2113</v>
      </c>
      <c r="F341" s="435" t="s">
        <v>1983</v>
      </c>
      <c r="G341" s="436">
        <v>22300</v>
      </c>
      <c r="H341" s="192" t="s">
        <v>2318</v>
      </c>
      <c r="I341" s="191" t="s">
        <v>2319</v>
      </c>
    </row>
    <row r="342" spans="1:9" ht="45.75" customHeight="1">
      <c r="A342" s="539" t="s">
        <v>2271</v>
      </c>
      <c r="B342" s="400">
        <v>45841</v>
      </c>
      <c r="C342" s="247" t="s">
        <v>2266</v>
      </c>
      <c r="D342" s="434" t="s">
        <v>1975</v>
      </c>
      <c r="E342" s="402" t="s">
        <v>2272</v>
      </c>
      <c r="F342" s="435" t="s">
        <v>1983</v>
      </c>
      <c r="G342" s="436">
        <v>22300</v>
      </c>
      <c r="H342" s="192" t="s">
        <v>2318</v>
      </c>
      <c r="I342" s="191" t="s">
        <v>2320</v>
      </c>
    </row>
    <row r="343" spans="1:9" ht="45.75" customHeight="1">
      <c r="A343" s="538" t="s">
        <v>2295</v>
      </c>
      <c r="B343" s="195">
        <v>45958</v>
      </c>
      <c r="C343" s="191" t="s">
        <v>2296</v>
      </c>
      <c r="D343" s="184" t="s">
        <v>1975</v>
      </c>
      <c r="E343" s="196" t="s">
        <v>2297</v>
      </c>
      <c r="F343" s="197" t="s">
        <v>1983</v>
      </c>
      <c r="G343" s="436">
        <v>22300</v>
      </c>
      <c r="H343" s="192" t="s">
        <v>2318</v>
      </c>
      <c r="I343" s="191" t="s">
        <v>2319</v>
      </c>
    </row>
    <row r="344" spans="1:9" ht="45.75" customHeight="1">
      <c r="A344" s="539" t="s">
        <v>2271</v>
      </c>
      <c r="B344" s="400">
        <v>45841</v>
      </c>
      <c r="C344" s="247" t="s">
        <v>2266</v>
      </c>
      <c r="D344" s="434" t="s">
        <v>1975</v>
      </c>
      <c r="E344" s="402" t="s">
        <v>2274</v>
      </c>
      <c r="F344" s="435" t="s">
        <v>1983</v>
      </c>
      <c r="G344" s="436">
        <v>22300</v>
      </c>
      <c r="H344" s="192" t="s">
        <v>2318</v>
      </c>
      <c r="I344" s="191" t="s">
        <v>2320</v>
      </c>
    </row>
    <row r="345" spans="1:9" ht="45.75" customHeight="1">
      <c r="A345" s="539" t="s">
        <v>2271</v>
      </c>
      <c r="B345" s="400">
        <v>45841</v>
      </c>
      <c r="C345" s="247" t="s">
        <v>2266</v>
      </c>
      <c r="D345" s="434" t="s">
        <v>1975</v>
      </c>
      <c r="E345" s="402" t="s">
        <v>2275</v>
      </c>
      <c r="F345" s="435" t="s">
        <v>1983</v>
      </c>
      <c r="G345" s="436">
        <v>22300</v>
      </c>
      <c r="H345" s="192" t="s">
        <v>2318</v>
      </c>
      <c r="I345" s="191" t="s">
        <v>2338</v>
      </c>
    </row>
    <row r="346" spans="1:9" ht="45.75" customHeight="1">
      <c r="A346" s="539" t="s">
        <v>2265</v>
      </c>
      <c r="B346" s="400">
        <v>45832</v>
      </c>
      <c r="C346" s="247" t="s">
        <v>2266</v>
      </c>
      <c r="D346" s="434" t="s">
        <v>1975</v>
      </c>
      <c r="E346" s="402" t="s">
        <v>2267</v>
      </c>
      <c r="F346" s="435" t="s">
        <v>1983</v>
      </c>
      <c r="G346" s="436">
        <v>22300</v>
      </c>
      <c r="H346" s="192" t="s">
        <v>2318</v>
      </c>
      <c r="I346" s="191" t="s">
        <v>2321</v>
      </c>
    </row>
    <row r="347" spans="1:9" ht="45.75" customHeight="1">
      <c r="A347" s="539" t="s">
        <v>2295</v>
      </c>
      <c r="B347" s="400">
        <v>45958</v>
      </c>
      <c r="C347" s="247" t="s">
        <v>2296</v>
      </c>
      <c r="D347" s="434" t="s">
        <v>1975</v>
      </c>
      <c r="E347" s="402" t="s">
        <v>2299</v>
      </c>
      <c r="F347" s="435" t="s">
        <v>1983</v>
      </c>
      <c r="G347" s="436">
        <v>22300</v>
      </c>
      <c r="H347" s="192" t="s">
        <v>2318</v>
      </c>
      <c r="I347" s="191" t="s">
        <v>2321</v>
      </c>
    </row>
    <row r="348" spans="1:9" ht="45.75" customHeight="1">
      <c r="A348" s="539" t="s">
        <v>2265</v>
      </c>
      <c r="B348" s="400">
        <v>45832</v>
      </c>
      <c r="C348" s="247" t="s">
        <v>2266</v>
      </c>
      <c r="D348" s="434" t="s">
        <v>1975</v>
      </c>
      <c r="E348" s="402" t="s">
        <v>2269</v>
      </c>
      <c r="F348" s="435" t="s">
        <v>1983</v>
      </c>
      <c r="G348" s="436">
        <v>22300</v>
      </c>
      <c r="H348" s="192" t="s">
        <v>2318</v>
      </c>
      <c r="I348" s="191" t="s">
        <v>2321</v>
      </c>
    </row>
    <row r="349" spans="1:9" ht="45.75" customHeight="1">
      <c r="A349" s="539" t="s">
        <v>2295</v>
      </c>
      <c r="B349" s="400">
        <v>45958</v>
      </c>
      <c r="C349" s="247" t="s">
        <v>2296</v>
      </c>
      <c r="D349" s="434" t="s">
        <v>1975</v>
      </c>
      <c r="E349" s="402" t="s">
        <v>2300</v>
      </c>
      <c r="F349" s="435" t="s">
        <v>1983</v>
      </c>
      <c r="G349" s="436">
        <v>22300</v>
      </c>
      <c r="H349" s="192" t="s">
        <v>2318</v>
      </c>
      <c r="I349" s="191" t="s">
        <v>2338</v>
      </c>
    </row>
    <row r="350" spans="1:9" ht="45.75" customHeight="1">
      <c r="A350" s="539" t="s">
        <v>2295</v>
      </c>
      <c r="B350" s="400">
        <v>45958</v>
      </c>
      <c r="C350" s="247" t="s">
        <v>2296</v>
      </c>
      <c r="D350" s="434" t="s">
        <v>1975</v>
      </c>
      <c r="E350" s="402" t="s">
        <v>2301</v>
      </c>
      <c r="F350" s="435" t="s">
        <v>1983</v>
      </c>
      <c r="G350" s="436">
        <v>22300</v>
      </c>
      <c r="H350" s="192" t="s">
        <v>2318</v>
      </c>
      <c r="I350" s="191" t="s">
        <v>2320</v>
      </c>
    </row>
    <row r="351" spans="1:9" ht="45.75" customHeight="1">
      <c r="A351" s="539" t="s">
        <v>2305</v>
      </c>
      <c r="B351" s="400">
        <v>45988</v>
      </c>
      <c r="C351" s="247" t="s">
        <v>2296</v>
      </c>
      <c r="D351" s="434" t="s">
        <v>1975</v>
      </c>
      <c r="E351" s="402" t="s">
        <v>2307</v>
      </c>
      <c r="F351" s="435" t="s">
        <v>1983</v>
      </c>
      <c r="G351" s="436">
        <v>22300</v>
      </c>
      <c r="H351" s="192" t="s">
        <v>2318</v>
      </c>
      <c r="I351" s="191" t="s">
        <v>2322</v>
      </c>
    </row>
    <row r="352" spans="1:9" ht="45.75" customHeight="1">
      <c r="A352" s="539" t="s">
        <v>2313</v>
      </c>
      <c r="B352" s="400">
        <v>45996</v>
      </c>
      <c r="C352" s="247" t="s">
        <v>2314</v>
      </c>
      <c r="D352" s="434" t="s">
        <v>1880</v>
      </c>
      <c r="E352" s="204" t="s">
        <v>2312</v>
      </c>
      <c r="F352" s="435" t="s">
        <v>2309</v>
      </c>
      <c r="G352" s="436">
        <v>22300</v>
      </c>
      <c r="H352" s="192" t="s">
        <v>2318</v>
      </c>
      <c r="I352" s="191" t="s">
        <v>2322</v>
      </c>
    </row>
    <row r="353" spans="1:9" ht="45.75" customHeight="1">
      <c r="A353" s="539" t="s">
        <v>2313</v>
      </c>
      <c r="B353" s="400">
        <v>45996</v>
      </c>
      <c r="C353" s="247" t="s">
        <v>2314</v>
      </c>
      <c r="D353" s="434" t="s">
        <v>1880</v>
      </c>
      <c r="E353" s="204" t="s">
        <v>2311</v>
      </c>
      <c r="F353" s="435" t="s">
        <v>2309</v>
      </c>
      <c r="G353" s="436">
        <v>22300</v>
      </c>
      <c r="H353" s="192" t="s">
        <v>2318</v>
      </c>
      <c r="I353" s="191" t="s">
        <v>2322</v>
      </c>
    </row>
    <row r="354" spans="1:9" ht="45.75" customHeight="1">
      <c r="A354" s="539" t="s">
        <v>2328</v>
      </c>
      <c r="B354" s="400">
        <v>45999</v>
      </c>
      <c r="C354" s="247" t="s">
        <v>2314</v>
      </c>
      <c r="D354" s="434" t="s">
        <v>1880</v>
      </c>
      <c r="E354" s="402" t="s">
        <v>2326</v>
      </c>
      <c r="F354" s="435" t="s">
        <v>2334</v>
      </c>
      <c r="G354" s="436">
        <v>22300</v>
      </c>
      <c r="H354" s="192" t="s">
        <v>2318</v>
      </c>
      <c r="I354" s="191" t="s">
        <v>2340</v>
      </c>
    </row>
    <row r="355" spans="1:9" ht="45.75" customHeight="1">
      <c r="A355" s="539" t="s">
        <v>2333</v>
      </c>
      <c r="B355" s="400">
        <v>45999</v>
      </c>
      <c r="C355" s="247" t="s">
        <v>2332</v>
      </c>
      <c r="D355" s="434" t="s">
        <v>1975</v>
      </c>
      <c r="E355" s="402" t="s">
        <v>2331</v>
      </c>
      <c r="F355" s="435" t="s">
        <v>1983</v>
      </c>
      <c r="G355" s="436">
        <v>22300</v>
      </c>
      <c r="H355" s="192" t="s">
        <v>2318</v>
      </c>
      <c r="I355" s="191" t="s">
        <v>2341</v>
      </c>
    </row>
    <row r="356" spans="1:9" ht="45.75" customHeight="1">
      <c r="A356" s="539" t="s">
        <v>2337</v>
      </c>
      <c r="B356" s="400">
        <v>46000</v>
      </c>
      <c r="C356" s="247" t="s">
        <v>2314</v>
      </c>
      <c r="D356" s="434" t="s">
        <v>1880</v>
      </c>
      <c r="E356" s="402" t="s">
        <v>2335</v>
      </c>
      <c r="F356" s="435" t="s">
        <v>2334</v>
      </c>
      <c r="G356" s="436">
        <v>22300</v>
      </c>
      <c r="H356" s="192" t="s">
        <v>2318</v>
      </c>
      <c r="I356" s="191" t="s">
        <v>2341</v>
      </c>
    </row>
    <row r="357" spans="1:9" ht="45.75" customHeight="1">
      <c r="A357" s="539" t="s">
        <v>2333</v>
      </c>
      <c r="B357" s="400">
        <v>45999</v>
      </c>
      <c r="C357" s="247" t="s">
        <v>2332</v>
      </c>
      <c r="D357" s="434" t="s">
        <v>1975</v>
      </c>
      <c r="E357" s="402" t="s">
        <v>2330</v>
      </c>
      <c r="F357" s="435" t="s">
        <v>1983</v>
      </c>
      <c r="G357" s="436">
        <v>22300</v>
      </c>
      <c r="H357" s="192" t="s">
        <v>2318</v>
      </c>
      <c r="I357" s="191" t="s">
        <v>2342</v>
      </c>
    </row>
    <row r="358" spans="1:9" ht="45.75" customHeight="1">
      <c r="A358" s="539" t="s">
        <v>2328</v>
      </c>
      <c r="B358" s="400">
        <v>45999</v>
      </c>
      <c r="C358" s="247" t="s">
        <v>2314</v>
      </c>
      <c r="D358" s="434" t="s">
        <v>1880</v>
      </c>
      <c r="E358" s="402" t="s">
        <v>2327</v>
      </c>
      <c r="F358" s="435" t="s">
        <v>2334</v>
      </c>
      <c r="G358" s="436">
        <v>22300</v>
      </c>
      <c r="H358" s="192" t="s">
        <v>2318</v>
      </c>
      <c r="I358" s="191" t="s">
        <v>2342</v>
      </c>
    </row>
    <row r="359" spans="1:9" ht="45.75" customHeight="1">
      <c r="A359" s="536" t="s">
        <v>280</v>
      </c>
      <c r="B359" s="177">
        <v>39437</v>
      </c>
      <c r="C359" s="141" t="s">
        <v>281</v>
      </c>
      <c r="D359" s="174" t="s">
        <v>41</v>
      </c>
      <c r="E359" s="170" t="s">
        <v>46</v>
      </c>
      <c r="F359" s="175" t="s">
        <v>282</v>
      </c>
      <c r="G359" s="172">
        <v>21500</v>
      </c>
      <c r="H359" s="136" t="s">
        <v>1142</v>
      </c>
    </row>
    <row r="360" spans="1:9" ht="45.75" customHeight="1">
      <c r="A360" s="536" t="s">
        <v>280</v>
      </c>
      <c r="B360" s="177">
        <v>39437</v>
      </c>
      <c r="C360" s="141" t="s">
        <v>281</v>
      </c>
      <c r="D360" s="174" t="s">
        <v>41</v>
      </c>
      <c r="E360" s="170" t="s">
        <v>45</v>
      </c>
      <c r="F360" s="175" t="s">
        <v>282</v>
      </c>
      <c r="G360" s="172">
        <v>21500</v>
      </c>
      <c r="H360" s="136" t="s">
        <v>1142</v>
      </c>
    </row>
    <row r="361" spans="1:9" ht="45.75" customHeight="1">
      <c r="A361" s="537" t="s">
        <v>337</v>
      </c>
      <c r="B361" s="167">
        <v>39444</v>
      </c>
      <c r="C361" s="176" t="s">
        <v>338</v>
      </c>
      <c r="D361" s="170" t="s">
        <v>41</v>
      </c>
      <c r="E361" s="170" t="s">
        <v>44</v>
      </c>
      <c r="F361" s="171" t="s">
        <v>311</v>
      </c>
      <c r="G361" s="172">
        <v>21500</v>
      </c>
      <c r="H361" s="136" t="s">
        <v>1142</v>
      </c>
    </row>
    <row r="362" spans="1:9" ht="45.75" customHeight="1">
      <c r="A362" s="537" t="s">
        <v>309</v>
      </c>
      <c r="B362" s="167">
        <v>39541</v>
      </c>
      <c r="C362" s="176" t="s">
        <v>310</v>
      </c>
      <c r="D362" s="170" t="s">
        <v>41</v>
      </c>
      <c r="E362" s="170" t="s">
        <v>42</v>
      </c>
      <c r="F362" s="171" t="s">
        <v>311</v>
      </c>
      <c r="G362" s="172">
        <v>21500</v>
      </c>
      <c r="H362" s="136" t="s">
        <v>1142</v>
      </c>
    </row>
    <row r="363" spans="1:9" ht="45.75" customHeight="1">
      <c r="A363" s="537" t="s">
        <v>285</v>
      </c>
      <c r="B363" s="167">
        <v>39615</v>
      </c>
      <c r="C363" s="176" t="s">
        <v>286</v>
      </c>
      <c r="D363" s="170" t="s">
        <v>52</v>
      </c>
      <c r="E363" s="170" t="s">
        <v>90</v>
      </c>
      <c r="F363" s="171" t="s">
        <v>272</v>
      </c>
      <c r="G363" s="172">
        <v>21500</v>
      </c>
      <c r="H363" s="136" t="s">
        <v>1142</v>
      </c>
    </row>
    <row r="364" spans="1:9" ht="45.75" customHeight="1">
      <c r="A364" s="537" t="s">
        <v>283</v>
      </c>
      <c r="B364" s="167">
        <v>39557</v>
      </c>
      <c r="C364" s="176" t="s">
        <v>284</v>
      </c>
      <c r="D364" s="170" t="s">
        <v>41</v>
      </c>
      <c r="E364" s="170" t="s">
        <v>70</v>
      </c>
      <c r="F364" s="171" t="s">
        <v>275</v>
      </c>
      <c r="G364" s="172">
        <v>21500</v>
      </c>
      <c r="H364" s="136" t="s">
        <v>1142</v>
      </c>
    </row>
    <row r="365" spans="1:9" ht="45.75" customHeight="1">
      <c r="A365" s="537" t="s">
        <v>270</v>
      </c>
      <c r="B365" s="167">
        <v>39737</v>
      </c>
      <c r="C365" s="176" t="s">
        <v>271</v>
      </c>
      <c r="D365" s="170" t="s">
        <v>52</v>
      </c>
      <c r="E365" s="170" t="s">
        <v>99</v>
      </c>
      <c r="F365" s="171" t="s">
        <v>272</v>
      </c>
      <c r="G365" s="172">
        <v>21500</v>
      </c>
      <c r="H365" s="136" t="s">
        <v>1142</v>
      </c>
    </row>
    <row r="366" spans="1:9" ht="45.75" customHeight="1">
      <c r="A366" s="537" t="s">
        <v>318</v>
      </c>
      <c r="B366" s="167">
        <v>39473</v>
      </c>
      <c r="C366" s="176" t="s">
        <v>319</v>
      </c>
      <c r="D366" s="170" t="s">
        <v>41</v>
      </c>
      <c r="E366" s="170">
        <v>101101</v>
      </c>
      <c r="F366" s="171" t="s">
        <v>320</v>
      </c>
      <c r="G366" s="172">
        <v>21500</v>
      </c>
      <c r="H366" s="136" t="s">
        <v>1142</v>
      </c>
    </row>
    <row r="367" spans="1:9" ht="45.75" customHeight="1">
      <c r="A367" s="537" t="s">
        <v>305</v>
      </c>
      <c r="B367" s="167">
        <v>39570</v>
      </c>
      <c r="C367" s="176" t="s">
        <v>306</v>
      </c>
      <c r="D367" s="170" t="s">
        <v>41</v>
      </c>
      <c r="E367" s="170">
        <v>101551</v>
      </c>
      <c r="F367" s="171" t="s">
        <v>275</v>
      </c>
      <c r="G367" s="172">
        <v>21500</v>
      </c>
      <c r="H367" s="136" t="s">
        <v>1142</v>
      </c>
    </row>
    <row r="368" spans="1:9" ht="45.75" customHeight="1">
      <c r="A368" s="537" t="s">
        <v>312</v>
      </c>
      <c r="B368" s="167">
        <v>39821</v>
      </c>
      <c r="C368" s="176" t="s">
        <v>313</v>
      </c>
      <c r="D368" s="170" t="s">
        <v>52</v>
      </c>
      <c r="E368" s="170">
        <v>102289</v>
      </c>
      <c r="F368" s="171" t="s">
        <v>272</v>
      </c>
      <c r="G368" s="172">
        <v>21500</v>
      </c>
      <c r="H368" s="136" t="s">
        <v>1142</v>
      </c>
    </row>
    <row r="369" spans="1:13" ht="45.75" customHeight="1">
      <c r="A369" s="537" t="s">
        <v>287</v>
      </c>
      <c r="B369" s="167" t="s">
        <v>288</v>
      </c>
      <c r="C369" s="176" t="s">
        <v>289</v>
      </c>
      <c r="D369" s="170" t="s">
        <v>52</v>
      </c>
      <c r="E369" s="170" t="s">
        <v>53</v>
      </c>
      <c r="F369" s="171" t="s">
        <v>272</v>
      </c>
      <c r="G369" s="172">
        <v>22575</v>
      </c>
      <c r="H369" s="136" t="s">
        <v>1142</v>
      </c>
    </row>
    <row r="370" spans="1:13" ht="45.75" customHeight="1">
      <c r="A370" s="537" t="s">
        <v>278</v>
      </c>
      <c r="B370" s="167">
        <v>39818</v>
      </c>
      <c r="C370" s="176" t="s">
        <v>279</v>
      </c>
      <c r="D370" s="170" t="s">
        <v>52</v>
      </c>
      <c r="E370" s="196" t="s">
        <v>129</v>
      </c>
      <c r="F370" s="171" t="s">
        <v>272</v>
      </c>
      <c r="G370" s="172">
        <v>21500</v>
      </c>
      <c r="H370" s="136" t="s">
        <v>1142</v>
      </c>
    </row>
    <row r="371" spans="1:13" ht="45.75" customHeight="1">
      <c r="A371" s="537" t="s">
        <v>303</v>
      </c>
      <c r="B371" s="167">
        <v>40052</v>
      </c>
      <c r="C371" s="176" t="s">
        <v>304</v>
      </c>
      <c r="D371" s="170" t="s">
        <v>52</v>
      </c>
      <c r="E371" s="170">
        <v>102293</v>
      </c>
      <c r="F371" s="171" t="s">
        <v>272</v>
      </c>
      <c r="G371" s="172">
        <v>21500</v>
      </c>
      <c r="H371" s="136" t="s">
        <v>1142</v>
      </c>
    </row>
    <row r="372" spans="1:13" ht="45.75" customHeight="1">
      <c r="A372" s="537" t="s">
        <v>299</v>
      </c>
      <c r="B372" s="167">
        <v>40073</v>
      </c>
      <c r="C372" s="176" t="s">
        <v>300</v>
      </c>
      <c r="D372" s="170" t="s">
        <v>52</v>
      </c>
      <c r="E372" s="170">
        <v>102696</v>
      </c>
      <c r="F372" s="171" t="s">
        <v>272</v>
      </c>
      <c r="G372" s="172">
        <v>21500</v>
      </c>
      <c r="H372" s="136" t="s">
        <v>1142</v>
      </c>
    </row>
    <row r="373" spans="1:13" ht="45.75" customHeight="1">
      <c r="A373" s="536" t="s">
        <v>278</v>
      </c>
      <c r="B373" s="167">
        <v>39818</v>
      </c>
      <c r="C373" s="176" t="s">
        <v>279</v>
      </c>
      <c r="D373" s="169" t="s">
        <v>52</v>
      </c>
      <c r="E373" s="174">
        <v>102284</v>
      </c>
      <c r="F373" s="171" t="s">
        <v>541</v>
      </c>
      <c r="G373" s="172">
        <v>21500</v>
      </c>
      <c r="H373" s="136" t="s">
        <v>1142</v>
      </c>
    </row>
    <row r="374" spans="1:13" ht="45.75" customHeight="1">
      <c r="A374" s="537" t="s">
        <v>301</v>
      </c>
      <c r="B374" s="167">
        <v>39687</v>
      </c>
      <c r="C374" s="141" t="s">
        <v>302</v>
      </c>
      <c r="D374" s="169" t="s">
        <v>52</v>
      </c>
      <c r="E374" s="196" t="s">
        <v>66</v>
      </c>
      <c r="F374" s="171" t="s">
        <v>541</v>
      </c>
      <c r="G374" s="172">
        <v>21500</v>
      </c>
      <c r="H374" s="193" t="s">
        <v>1388</v>
      </c>
    </row>
    <row r="375" spans="1:13" ht="45.75" customHeight="1">
      <c r="D375" s="541" t="s">
        <v>2346</v>
      </c>
      <c r="E375" s="541" t="s">
        <v>2347</v>
      </c>
      <c r="F375" s="542" t="s">
        <v>2348</v>
      </c>
      <c r="G375" s="543"/>
      <c r="H375" s="541" t="s">
        <v>2350</v>
      </c>
      <c r="I375" s="514"/>
    </row>
    <row r="376" spans="1:13" ht="45.75" customHeight="1">
      <c r="D376" s="544" t="s">
        <v>41</v>
      </c>
      <c r="E376" s="544" t="s">
        <v>81</v>
      </c>
      <c r="F376" s="544" t="s">
        <v>82</v>
      </c>
      <c r="G376" s="545"/>
      <c r="H376" s="544" t="s">
        <v>83</v>
      </c>
      <c r="I376" s="10"/>
      <c r="J376" s="10"/>
      <c r="K376" s="10"/>
      <c r="L376" s="10"/>
      <c r="M376" s="10"/>
    </row>
    <row r="377" spans="1:13" ht="45.75" customHeight="1">
      <c r="D377" s="544" t="s">
        <v>41</v>
      </c>
      <c r="E377" s="544" t="s">
        <v>71</v>
      </c>
      <c r="F377" s="544" t="s">
        <v>72</v>
      </c>
      <c r="G377" s="545"/>
      <c r="H377" s="544" t="s">
        <v>31</v>
      </c>
      <c r="L377" s="8"/>
    </row>
    <row r="378" spans="1:13" ht="45.75" customHeight="1">
      <c r="D378" s="544" t="s">
        <v>41</v>
      </c>
      <c r="E378" s="544" t="s">
        <v>85</v>
      </c>
      <c r="F378" s="544" t="s">
        <v>72</v>
      </c>
      <c r="G378" s="545"/>
      <c r="H378" s="544" t="s">
        <v>31</v>
      </c>
      <c r="L378" s="8"/>
    </row>
    <row r="379" spans="1:13" ht="45.75" customHeight="1">
      <c r="D379" s="544" t="s">
        <v>18</v>
      </c>
      <c r="E379" s="544" t="s">
        <v>21</v>
      </c>
      <c r="F379" s="544" t="s">
        <v>22</v>
      </c>
      <c r="G379" s="545"/>
      <c r="H379" s="544" t="s">
        <v>23</v>
      </c>
      <c r="L379" s="8"/>
    </row>
    <row r="380" spans="1:13" ht="45.75" customHeight="1">
      <c r="D380" s="544" t="s">
        <v>2354</v>
      </c>
      <c r="E380" s="544" t="s">
        <v>152</v>
      </c>
      <c r="F380" s="544" t="s">
        <v>153</v>
      </c>
      <c r="G380" s="545"/>
      <c r="H380" s="544" t="s">
        <v>155</v>
      </c>
      <c r="L380" s="8"/>
    </row>
    <row r="381" spans="1:13" ht="45.75" customHeight="1">
      <c r="D381" s="544" t="s">
        <v>176</v>
      </c>
      <c r="E381" s="544" t="s">
        <v>212</v>
      </c>
      <c r="F381" s="544" t="s">
        <v>213</v>
      </c>
      <c r="G381" s="545"/>
      <c r="H381" s="544" t="s">
        <v>32</v>
      </c>
      <c r="L381" s="8"/>
    </row>
    <row r="382" spans="1:13" ht="45.75" customHeight="1">
      <c r="D382" s="544" t="s">
        <v>138</v>
      </c>
      <c r="E382" s="544" t="s">
        <v>139</v>
      </c>
      <c r="F382" s="544" t="s">
        <v>33</v>
      </c>
      <c r="G382" s="545"/>
      <c r="H382" s="544" t="s">
        <v>32</v>
      </c>
      <c r="L382" s="8"/>
    </row>
    <row r="383" spans="1:13" ht="45.75" customHeight="1">
      <c r="D383" s="546" t="s">
        <v>2353</v>
      </c>
      <c r="E383" s="544" t="s">
        <v>234</v>
      </c>
      <c r="F383" s="544" t="s">
        <v>33</v>
      </c>
      <c r="G383" s="545"/>
      <c r="H383" s="544" t="s">
        <v>10</v>
      </c>
      <c r="L383" s="8"/>
    </row>
    <row r="384" spans="1:13" ht="45.75" customHeight="1">
      <c r="D384" s="544" t="s">
        <v>214</v>
      </c>
      <c r="E384" s="544" t="s">
        <v>215</v>
      </c>
      <c r="F384" s="544" t="s">
        <v>34</v>
      </c>
      <c r="G384" s="545"/>
      <c r="H384" s="544" t="s">
        <v>235</v>
      </c>
      <c r="L384" s="8"/>
    </row>
    <row r="385" spans="4:12" ht="45.75" customHeight="1">
      <c r="D385" s="544" t="s">
        <v>214</v>
      </c>
      <c r="E385" s="544" t="s">
        <v>198</v>
      </c>
      <c r="F385" s="544" t="s">
        <v>34</v>
      </c>
      <c r="G385" s="545"/>
      <c r="H385" s="544" t="s">
        <v>196</v>
      </c>
      <c r="L385" s="8"/>
    </row>
    <row r="386" spans="4:12" ht="45.75" customHeight="1">
      <c r="D386" s="544" t="s">
        <v>214</v>
      </c>
      <c r="E386" s="544" t="s">
        <v>199</v>
      </c>
      <c r="F386" s="544" t="s">
        <v>34</v>
      </c>
      <c r="G386" s="545"/>
      <c r="H386" s="544" t="s">
        <v>196</v>
      </c>
      <c r="L386" s="8"/>
    </row>
    <row r="387" spans="4:12" ht="45.75" customHeight="1">
      <c r="D387" s="544" t="s">
        <v>2354</v>
      </c>
      <c r="E387" s="544" t="s">
        <v>107</v>
      </c>
      <c r="F387" s="544" t="s">
        <v>108</v>
      </c>
      <c r="G387" s="545"/>
      <c r="H387" s="544" t="s">
        <v>196</v>
      </c>
      <c r="L387" s="8"/>
    </row>
    <row r="388" spans="4:12" ht="45.75" customHeight="1">
      <c r="D388" s="544" t="s">
        <v>2354</v>
      </c>
      <c r="E388" s="544" t="s">
        <v>114</v>
      </c>
      <c r="F388" s="544" t="s">
        <v>108</v>
      </c>
      <c r="G388" s="545"/>
      <c r="H388" s="544" t="s">
        <v>109</v>
      </c>
      <c r="L388" s="8"/>
    </row>
    <row r="389" spans="4:12" ht="45.75" customHeight="1">
      <c r="D389" s="544" t="s">
        <v>2354</v>
      </c>
      <c r="E389" s="544" t="s">
        <v>192</v>
      </c>
      <c r="F389" s="544" t="s">
        <v>108</v>
      </c>
      <c r="G389" s="545"/>
      <c r="H389" s="544" t="s">
        <v>115</v>
      </c>
      <c r="L389" s="8"/>
    </row>
    <row r="390" spans="4:12" ht="45.75" customHeight="1">
      <c r="D390" s="544" t="s">
        <v>112</v>
      </c>
      <c r="E390" s="544" t="s">
        <v>144</v>
      </c>
      <c r="F390" s="544" t="s">
        <v>145</v>
      </c>
      <c r="G390" s="545"/>
      <c r="H390" s="544" t="s">
        <v>115</v>
      </c>
      <c r="L390" s="8"/>
    </row>
    <row r="391" spans="4:12" ht="45.75" customHeight="1">
      <c r="D391" s="544" t="s">
        <v>112</v>
      </c>
      <c r="E391" s="544" t="s">
        <v>120</v>
      </c>
      <c r="F391" s="544" t="s">
        <v>122</v>
      </c>
      <c r="G391" s="545"/>
      <c r="H391" s="544" t="s">
        <v>146</v>
      </c>
      <c r="L391" s="8"/>
    </row>
    <row r="392" spans="4:12" ht="45.75" customHeight="1">
      <c r="D392" s="544" t="s">
        <v>112</v>
      </c>
      <c r="E392" s="544" t="s">
        <v>121</v>
      </c>
      <c r="F392" s="544" t="s">
        <v>122</v>
      </c>
      <c r="G392" s="545"/>
      <c r="H392" s="544" t="s">
        <v>11</v>
      </c>
      <c r="L392" s="8"/>
    </row>
    <row r="393" spans="4:12" ht="45.75" customHeight="1">
      <c r="D393" s="544" t="s">
        <v>112</v>
      </c>
      <c r="E393" s="544" t="s">
        <v>123</v>
      </c>
      <c r="F393" s="544" t="s">
        <v>122</v>
      </c>
      <c r="G393" s="545"/>
      <c r="H393" s="544" t="s">
        <v>11</v>
      </c>
      <c r="L393" s="8"/>
    </row>
    <row r="394" spans="4:12" ht="45.75" customHeight="1">
      <c r="D394" s="544" t="s">
        <v>112</v>
      </c>
      <c r="E394" s="544" t="s">
        <v>125</v>
      </c>
      <c r="F394" s="544" t="s">
        <v>122</v>
      </c>
      <c r="G394" s="545"/>
      <c r="H394" s="544" t="s">
        <v>11</v>
      </c>
      <c r="L394" s="8"/>
    </row>
    <row r="395" spans="4:12" ht="45.75" customHeight="1">
      <c r="D395" s="544" t="s">
        <v>39</v>
      </c>
      <c r="E395" s="544" t="s">
        <v>140</v>
      </c>
      <c r="F395" s="544" t="s">
        <v>122</v>
      </c>
      <c r="G395" s="545"/>
      <c r="H395" s="544" t="s">
        <v>11</v>
      </c>
      <c r="L395" s="8"/>
    </row>
    <row r="396" spans="4:12" ht="45.75" customHeight="1">
      <c r="D396" s="544" t="s">
        <v>39</v>
      </c>
      <c r="E396" s="544" t="s">
        <v>141</v>
      </c>
      <c r="F396" s="544" t="s">
        <v>122</v>
      </c>
      <c r="G396" s="545"/>
      <c r="H396" s="544" t="s">
        <v>11</v>
      </c>
      <c r="L396" s="8"/>
    </row>
    <row r="397" spans="4:12" ht="45.75" customHeight="1">
      <c r="D397" s="544" t="s">
        <v>39</v>
      </c>
      <c r="E397" s="544" t="s">
        <v>142</v>
      </c>
      <c r="F397" s="544" t="s">
        <v>122</v>
      </c>
      <c r="G397" s="545"/>
      <c r="H397" s="544" t="s">
        <v>11</v>
      </c>
      <c r="L397" s="8"/>
    </row>
    <row r="398" spans="4:12" ht="45.75" customHeight="1">
      <c r="D398" s="544" t="s">
        <v>39</v>
      </c>
      <c r="E398" s="544" t="s">
        <v>143</v>
      </c>
      <c r="F398" s="544" t="s">
        <v>122</v>
      </c>
      <c r="G398" s="545"/>
      <c r="H398" s="544" t="s">
        <v>11</v>
      </c>
      <c r="L398" s="8"/>
    </row>
    <row r="399" spans="4:12" ht="45.75" customHeight="1">
      <c r="D399" s="544" t="s">
        <v>112</v>
      </c>
      <c r="E399" s="544" t="s">
        <v>118</v>
      </c>
      <c r="F399" s="544" t="s">
        <v>35</v>
      </c>
      <c r="G399" s="545"/>
      <c r="H399" s="544" t="s">
        <v>11</v>
      </c>
      <c r="L399" s="8"/>
    </row>
    <row r="400" spans="4:12" ht="45.75" customHeight="1">
      <c r="D400" s="544" t="s">
        <v>214</v>
      </c>
      <c r="E400" s="544" t="s">
        <v>201</v>
      </c>
      <c r="F400" s="544" t="s">
        <v>202</v>
      </c>
      <c r="G400" s="545"/>
      <c r="H400" s="544" t="s">
        <v>10</v>
      </c>
      <c r="L400" s="8"/>
    </row>
    <row r="401" spans="4:13" ht="45.75" customHeight="1">
      <c r="D401" s="544" t="s">
        <v>147</v>
      </c>
      <c r="E401" s="544" t="s">
        <v>148</v>
      </c>
      <c r="F401" s="544" t="s">
        <v>149</v>
      </c>
      <c r="G401" s="545"/>
      <c r="H401" s="544" t="s">
        <v>10</v>
      </c>
      <c r="L401" s="8"/>
    </row>
    <row r="402" spans="4:13" ht="45.75" customHeight="1">
      <c r="D402" s="544" t="s">
        <v>41</v>
      </c>
      <c r="E402" s="547" t="s">
        <v>75</v>
      </c>
      <c r="F402" s="544" t="s">
        <v>76</v>
      </c>
      <c r="G402" s="545"/>
      <c r="H402" s="544" t="s">
        <v>150</v>
      </c>
      <c r="L402" s="8"/>
    </row>
    <row r="403" spans="4:13" ht="45.75" customHeight="1">
      <c r="D403" s="548" t="s">
        <v>39</v>
      </c>
      <c r="E403" s="548" t="s">
        <v>100</v>
      </c>
      <c r="F403" s="548" t="s">
        <v>205</v>
      </c>
      <c r="G403" s="545"/>
      <c r="H403" s="544" t="s">
        <v>31</v>
      </c>
      <c r="L403" s="8"/>
    </row>
    <row r="404" spans="4:13" ht="45.75" customHeight="1">
      <c r="D404" s="548" t="s">
        <v>203</v>
      </c>
      <c r="E404" s="548" t="s">
        <v>204</v>
      </c>
      <c r="F404" s="548" t="s">
        <v>205</v>
      </c>
      <c r="G404" s="545"/>
      <c r="H404" s="545"/>
      <c r="L404" s="8"/>
    </row>
    <row r="405" spans="4:13" ht="45.75" customHeight="1">
      <c r="L405" s="13"/>
      <c r="M405" s="2"/>
    </row>
  </sheetData>
  <autoFilter ref="A1:I404" xr:uid="{D6E3F601-0BF8-441E-8D09-969BBA3CD661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Q60"/>
  <sheetViews>
    <sheetView zoomScaleNormal="100" workbookViewId="0">
      <pane ySplit="3" topLeftCell="A56" activePane="bottomLeft" state="frozen"/>
      <selection pane="bottomLeft" activeCell="A3" sqref="A3:K60"/>
    </sheetView>
  </sheetViews>
  <sheetFormatPr defaultColWidth="9.140625" defaultRowHeight="12.75"/>
  <cols>
    <col min="1" max="1" width="4.28515625" style="219" customWidth="1"/>
    <col min="2" max="2" width="13.140625" style="219" customWidth="1"/>
    <col min="3" max="3" width="10.28515625" style="199" bestFit="1" customWidth="1"/>
    <col min="4" max="4" width="10.7109375" style="199" customWidth="1"/>
    <col min="5" max="5" width="23" style="220" bestFit="1" customWidth="1"/>
    <col min="6" max="6" width="10" style="220" bestFit="1" customWidth="1"/>
    <col min="7" max="7" width="55.7109375" style="199" customWidth="1"/>
    <col min="8" max="8" width="15.42578125" style="199" customWidth="1"/>
    <col min="9" max="9" width="16.28515625" style="221" bestFit="1" customWidth="1"/>
    <col min="10" max="10" width="20" style="221" customWidth="1"/>
    <col min="11" max="11" width="22.140625" style="199" customWidth="1"/>
    <col min="12" max="16384" width="9.140625" style="199"/>
  </cols>
  <sheetData>
    <row r="1" spans="1:11" s="76" customFormat="1" ht="19.899999999999999" customHeight="1">
      <c r="A1" s="549" t="s">
        <v>209</v>
      </c>
      <c r="B1" s="549"/>
      <c r="C1" s="549"/>
      <c r="D1" s="549"/>
      <c r="E1" s="549"/>
      <c r="F1" s="549"/>
      <c r="G1" s="549"/>
      <c r="H1" s="549"/>
      <c r="I1" s="549"/>
      <c r="J1" s="77">
        <v>45999</v>
      </c>
    </row>
    <row r="2" spans="1:11" s="99" customFormat="1">
      <c r="A2" s="161"/>
      <c r="B2" s="163"/>
      <c r="E2" s="162"/>
      <c r="F2" s="162"/>
      <c r="I2" s="163"/>
      <c r="J2" s="164"/>
    </row>
    <row r="3" spans="1:11" s="505" customFormat="1" ht="30" customHeight="1">
      <c r="A3" s="511" t="s">
        <v>261</v>
      </c>
      <c r="B3" s="512" t="s">
        <v>267</v>
      </c>
      <c r="C3" s="513" t="s">
        <v>268</v>
      </c>
      <c r="D3" s="513" t="s">
        <v>269</v>
      </c>
      <c r="E3" s="514" t="s">
        <v>0</v>
      </c>
      <c r="F3" s="514" t="s">
        <v>1</v>
      </c>
      <c r="G3" s="515" t="s">
        <v>6</v>
      </c>
      <c r="H3" s="515" t="s">
        <v>206</v>
      </c>
      <c r="I3" s="514" t="s">
        <v>2</v>
      </c>
      <c r="J3" s="514" t="s">
        <v>207</v>
      </c>
      <c r="K3" s="516" t="s">
        <v>1817</v>
      </c>
    </row>
    <row r="4" spans="1:11" ht="76.5" customHeight="1">
      <c r="A4" s="206">
        <v>1</v>
      </c>
      <c r="B4" s="195" t="s">
        <v>332</v>
      </c>
      <c r="C4" s="195">
        <v>41360</v>
      </c>
      <c r="D4" s="191" t="s">
        <v>333</v>
      </c>
      <c r="E4" s="184" t="s">
        <v>112</v>
      </c>
      <c r="F4" s="204">
        <v>102226</v>
      </c>
      <c r="G4" s="197" t="s">
        <v>334</v>
      </c>
      <c r="H4" s="207">
        <v>20000</v>
      </c>
      <c r="I4" s="192" t="s">
        <v>16</v>
      </c>
      <c r="J4" s="191"/>
      <c r="K4" s="213"/>
    </row>
    <row r="5" spans="1:11" ht="76.5" customHeight="1">
      <c r="A5" s="206">
        <v>2</v>
      </c>
      <c r="B5" s="195" t="s">
        <v>332</v>
      </c>
      <c r="C5" s="195">
        <v>41360</v>
      </c>
      <c r="D5" s="183" t="s">
        <v>333</v>
      </c>
      <c r="E5" s="184" t="s">
        <v>112</v>
      </c>
      <c r="F5" s="196" t="s">
        <v>127</v>
      </c>
      <c r="G5" s="197" t="s">
        <v>334</v>
      </c>
      <c r="H5" s="207">
        <v>20000</v>
      </c>
      <c r="I5" s="192" t="s">
        <v>16</v>
      </c>
      <c r="J5" s="191"/>
      <c r="K5" s="213"/>
    </row>
    <row r="6" spans="1:11" ht="76.5" customHeight="1">
      <c r="A6" s="206">
        <v>3</v>
      </c>
      <c r="B6" s="195" t="s">
        <v>332</v>
      </c>
      <c r="C6" s="195">
        <v>41360</v>
      </c>
      <c r="D6" s="191" t="s">
        <v>333</v>
      </c>
      <c r="E6" s="184" t="s">
        <v>112</v>
      </c>
      <c r="F6" s="204">
        <v>102230</v>
      </c>
      <c r="G6" s="197" t="s">
        <v>334</v>
      </c>
      <c r="H6" s="207">
        <v>20000</v>
      </c>
      <c r="I6" s="192" t="s">
        <v>16</v>
      </c>
      <c r="J6" s="191"/>
      <c r="K6" s="213"/>
    </row>
    <row r="7" spans="1:11" ht="76.5" customHeight="1">
      <c r="A7" s="206">
        <v>4</v>
      </c>
      <c r="B7" s="183" t="s">
        <v>316</v>
      </c>
      <c r="C7" s="195">
        <v>40634</v>
      </c>
      <c r="D7" s="191" t="s">
        <v>317</v>
      </c>
      <c r="E7" s="184" t="s">
        <v>39</v>
      </c>
      <c r="F7" s="196" t="s">
        <v>40</v>
      </c>
      <c r="G7" s="197" t="s">
        <v>547</v>
      </c>
      <c r="H7" s="198">
        <v>24675</v>
      </c>
      <c r="I7" s="192" t="s">
        <v>16</v>
      </c>
      <c r="J7" s="191" t="s">
        <v>2102</v>
      </c>
      <c r="K7" s="213"/>
    </row>
    <row r="8" spans="1:11" ht="76.5" customHeight="1">
      <c r="A8" s="206">
        <v>5</v>
      </c>
      <c r="B8" s="183" t="s">
        <v>328</v>
      </c>
      <c r="C8" s="195">
        <v>40836</v>
      </c>
      <c r="D8" s="191" t="s">
        <v>329</v>
      </c>
      <c r="E8" s="184" t="s">
        <v>39</v>
      </c>
      <c r="F8" s="196" t="s">
        <v>50</v>
      </c>
      <c r="G8" s="197" t="s">
        <v>547</v>
      </c>
      <c r="H8" s="198">
        <v>26250</v>
      </c>
      <c r="I8" s="192" t="s">
        <v>16</v>
      </c>
      <c r="J8" s="191"/>
      <c r="K8" s="213"/>
    </row>
    <row r="9" spans="1:11" ht="76.5" customHeight="1">
      <c r="A9" s="206">
        <v>6</v>
      </c>
      <c r="B9" s="183" t="s">
        <v>330</v>
      </c>
      <c r="C9" s="195">
        <v>40939</v>
      </c>
      <c r="D9" s="191" t="s">
        <v>331</v>
      </c>
      <c r="E9" s="184" t="s">
        <v>39</v>
      </c>
      <c r="F9" s="196" t="s">
        <v>63</v>
      </c>
      <c r="G9" s="197" t="s">
        <v>547</v>
      </c>
      <c r="H9" s="198">
        <v>26250</v>
      </c>
      <c r="I9" s="192" t="s">
        <v>16</v>
      </c>
      <c r="J9" s="191"/>
      <c r="K9" s="213"/>
    </row>
    <row r="10" spans="1:11" ht="76.5" customHeight="1">
      <c r="A10" s="206">
        <v>7</v>
      </c>
      <c r="B10" s="183" t="s">
        <v>290</v>
      </c>
      <c r="C10" s="195">
        <v>41093</v>
      </c>
      <c r="D10" s="191" t="s">
        <v>291</v>
      </c>
      <c r="E10" s="184" t="s">
        <v>39</v>
      </c>
      <c r="F10" s="196" t="s">
        <v>86</v>
      </c>
      <c r="G10" s="197" t="s">
        <v>547</v>
      </c>
      <c r="H10" s="198">
        <v>26250</v>
      </c>
      <c r="I10" s="192" t="s">
        <v>16</v>
      </c>
      <c r="J10" s="191"/>
      <c r="K10" s="213"/>
    </row>
    <row r="11" spans="1:11" ht="76.5" customHeight="1">
      <c r="A11" s="206">
        <v>8</v>
      </c>
      <c r="B11" s="183" t="s">
        <v>326</v>
      </c>
      <c r="C11" s="195">
        <v>41176</v>
      </c>
      <c r="D11" s="191" t="s">
        <v>327</v>
      </c>
      <c r="E11" s="184" t="s">
        <v>39</v>
      </c>
      <c r="F11" s="204">
        <v>102056</v>
      </c>
      <c r="G11" s="197" t="s">
        <v>547</v>
      </c>
      <c r="H11" s="198">
        <v>26250</v>
      </c>
      <c r="I11" s="192" t="s">
        <v>16</v>
      </c>
      <c r="J11" s="191"/>
      <c r="K11" s="213"/>
    </row>
    <row r="12" spans="1:11" ht="76.5" customHeight="1">
      <c r="A12" s="206">
        <v>9</v>
      </c>
      <c r="B12" s="211" t="s">
        <v>326</v>
      </c>
      <c r="C12" s="195">
        <v>41176</v>
      </c>
      <c r="D12" s="191" t="s">
        <v>327</v>
      </c>
      <c r="E12" s="184" t="s">
        <v>39</v>
      </c>
      <c r="F12" s="196" t="s">
        <v>102</v>
      </c>
      <c r="G12" s="197" t="s">
        <v>547</v>
      </c>
      <c r="H12" s="198">
        <v>26250</v>
      </c>
      <c r="I12" s="192" t="s">
        <v>16</v>
      </c>
      <c r="J12" s="191"/>
      <c r="K12" s="213"/>
    </row>
    <row r="13" spans="1:11" ht="76.5" customHeight="1">
      <c r="A13" s="206">
        <v>10</v>
      </c>
      <c r="B13" s="183" t="s">
        <v>307</v>
      </c>
      <c r="C13" s="195">
        <v>41277</v>
      </c>
      <c r="D13" s="183" t="s">
        <v>308</v>
      </c>
      <c r="E13" s="184" t="s">
        <v>39</v>
      </c>
      <c r="F13" s="196" t="s">
        <v>104</v>
      </c>
      <c r="G13" s="197" t="s">
        <v>547</v>
      </c>
      <c r="H13" s="198">
        <v>26250</v>
      </c>
      <c r="I13" s="192" t="s">
        <v>16</v>
      </c>
      <c r="J13" s="191"/>
      <c r="K13" s="213"/>
    </row>
    <row r="14" spans="1:11" ht="76.5" customHeight="1">
      <c r="A14" s="206">
        <v>11</v>
      </c>
      <c r="B14" s="211" t="s">
        <v>280</v>
      </c>
      <c r="C14" s="195">
        <v>39437</v>
      </c>
      <c r="D14" s="183" t="s">
        <v>281</v>
      </c>
      <c r="E14" s="184" t="s">
        <v>41</v>
      </c>
      <c r="F14" s="204">
        <v>101103</v>
      </c>
      <c r="G14" s="197" t="s">
        <v>541</v>
      </c>
      <c r="H14" s="198">
        <v>21500</v>
      </c>
      <c r="I14" s="192" t="s">
        <v>16</v>
      </c>
      <c r="J14" s="191"/>
      <c r="K14" s="213"/>
    </row>
    <row r="15" spans="1:11" ht="76.5" customHeight="1">
      <c r="A15" s="206">
        <v>12</v>
      </c>
      <c r="B15" s="183" t="s">
        <v>280</v>
      </c>
      <c r="C15" s="195">
        <v>39437</v>
      </c>
      <c r="D15" s="191" t="s">
        <v>281</v>
      </c>
      <c r="E15" s="184" t="s">
        <v>41</v>
      </c>
      <c r="F15" s="196" t="s">
        <v>49</v>
      </c>
      <c r="G15" s="197" t="s">
        <v>548</v>
      </c>
      <c r="H15" s="198">
        <v>21500</v>
      </c>
      <c r="I15" s="192" t="s">
        <v>16</v>
      </c>
      <c r="J15" s="191"/>
      <c r="K15" s="213"/>
    </row>
    <row r="16" spans="1:11" ht="76.5" customHeight="1">
      <c r="A16" s="206">
        <v>13</v>
      </c>
      <c r="B16" s="211" t="s">
        <v>276</v>
      </c>
      <c r="C16" s="195">
        <v>39580</v>
      </c>
      <c r="D16" s="191" t="s">
        <v>338</v>
      </c>
      <c r="E16" s="184" t="s">
        <v>41</v>
      </c>
      <c r="F16" s="204" t="s">
        <v>68</v>
      </c>
      <c r="G16" s="197" t="s">
        <v>546</v>
      </c>
      <c r="H16" s="198">
        <v>21500</v>
      </c>
      <c r="I16" s="192" t="s">
        <v>16</v>
      </c>
      <c r="J16" s="191"/>
      <c r="K16" s="213"/>
    </row>
    <row r="17" spans="1:17" ht="76.5" customHeight="1">
      <c r="A17" s="206">
        <v>14</v>
      </c>
      <c r="B17" s="183" t="s">
        <v>273</v>
      </c>
      <c r="C17" s="195">
        <v>39570</v>
      </c>
      <c r="D17" s="183" t="s">
        <v>274</v>
      </c>
      <c r="E17" s="184" t="s">
        <v>41</v>
      </c>
      <c r="F17" s="196" t="s">
        <v>69</v>
      </c>
      <c r="G17" s="197" t="s">
        <v>545</v>
      </c>
      <c r="H17" s="198">
        <v>21500</v>
      </c>
      <c r="I17" s="192" t="s">
        <v>16</v>
      </c>
      <c r="J17" s="191" t="s">
        <v>2103</v>
      </c>
      <c r="K17" s="213"/>
    </row>
    <row r="18" spans="1:17" ht="76.5" customHeight="1">
      <c r="A18" s="206">
        <v>15</v>
      </c>
      <c r="B18" s="183" t="s">
        <v>276</v>
      </c>
      <c r="C18" s="195">
        <v>39580</v>
      </c>
      <c r="D18" s="191" t="s">
        <v>277</v>
      </c>
      <c r="E18" s="184" t="s">
        <v>41</v>
      </c>
      <c r="F18" s="196" t="s">
        <v>73</v>
      </c>
      <c r="G18" s="197" t="s">
        <v>546</v>
      </c>
      <c r="H18" s="198">
        <v>21500</v>
      </c>
      <c r="I18" s="192" t="s">
        <v>16</v>
      </c>
      <c r="J18" s="191"/>
      <c r="K18" s="213"/>
    </row>
    <row r="19" spans="1:17" ht="76.5" customHeight="1">
      <c r="A19" s="206">
        <v>16</v>
      </c>
      <c r="B19" s="183" t="s">
        <v>273</v>
      </c>
      <c r="C19" s="195">
        <v>39570</v>
      </c>
      <c r="D19" s="191" t="s">
        <v>274</v>
      </c>
      <c r="E19" s="184" t="s">
        <v>41</v>
      </c>
      <c r="F19" s="204">
        <v>101571</v>
      </c>
      <c r="G19" s="197" t="s">
        <v>546</v>
      </c>
      <c r="H19" s="198">
        <v>21500</v>
      </c>
      <c r="I19" s="192" t="s">
        <v>16</v>
      </c>
      <c r="J19" s="191"/>
      <c r="K19" s="213"/>
    </row>
    <row r="20" spans="1:17" s="245" customFormat="1" ht="76.5" customHeight="1">
      <c r="A20" s="206">
        <v>17</v>
      </c>
      <c r="B20" s="247" t="s">
        <v>344</v>
      </c>
      <c r="C20" s="400">
        <v>39958</v>
      </c>
      <c r="D20" s="412" t="s">
        <v>345</v>
      </c>
      <c r="E20" s="401" t="s">
        <v>41</v>
      </c>
      <c r="F20" s="402" t="s">
        <v>80</v>
      </c>
      <c r="G20" s="403" t="s">
        <v>548</v>
      </c>
      <c r="H20" s="463">
        <v>11825</v>
      </c>
      <c r="I20" s="192" t="s">
        <v>16</v>
      </c>
      <c r="J20" s="464"/>
      <c r="K20" s="254"/>
    </row>
    <row r="21" spans="1:17" ht="76.5" customHeight="1">
      <c r="A21" s="206">
        <v>18</v>
      </c>
      <c r="B21" s="183" t="s">
        <v>285</v>
      </c>
      <c r="C21" s="195">
        <v>39615</v>
      </c>
      <c r="D21" s="191" t="s">
        <v>286</v>
      </c>
      <c r="E21" s="184" t="s">
        <v>52</v>
      </c>
      <c r="F21" s="196" t="s">
        <v>84</v>
      </c>
      <c r="G21" s="197" t="s">
        <v>541</v>
      </c>
      <c r="H21" s="198">
        <v>21500</v>
      </c>
      <c r="I21" s="192" t="s">
        <v>16</v>
      </c>
      <c r="J21" s="191"/>
      <c r="K21" s="213"/>
    </row>
    <row r="22" spans="1:17" ht="76.5" customHeight="1">
      <c r="A22" s="206">
        <v>19</v>
      </c>
      <c r="B22" s="183" t="s">
        <v>285</v>
      </c>
      <c r="C22" s="195">
        <v>39615</v>
      </c>
      <c r="D22" s="191" t="s">
        <v>286</v>
      </c>
      <c r="E22" s="184" t="s">
        <v>52</v>
      </c>
      <c r="F22" s="196" t="s">
        <v>87</v>
      </c>
      <c r="G22" s="197" t="s">
        <v>541</v>
      </c>
      <c r="H22" s="198">
        <v>21500</v>
      </c>
      <c r="I22" s="192" t="s">
        <v>16</v>
      </c>
      <c r="J22" s="191"/>
      <c r="K22" s="213"/>
    </row>
    <row r="23" spans="1:17" ht="76.5" customHeight="1">
      <c r="A23" s="206">
        <v>20</v>
      </c>
      <c r="B23" s="183" t="s">
        <v>285</v>
      </c>
      <c r="C23" s="195">
        <v>39615</v>
      </c>
      <c r="D23" s="202" t="s">
        <v>286</v>
      </c>
      <c r="E23" s="184" t="s">
        <v>52</v>
      </c>
      <c r="F23" s="196" t="s">
        <v>88</v>
      </c>
      <c r="G23" s="197" t="s">
        <v>541</v>
      </c>
      <c r="H23" s="198">
        <v>21500</v>
      </c>
      <c r="I23" s="192" t="s">
        <v>16</v>
      </c>
      <c r="J23" s="191"/>
      <c r="K23" s="213"/>
    </row>
    <row r="24" spans="1:17" ht="76.5" customHeight="1">
      <c r="A24" s="206">
        <v>21</v>
      </c>
      <c r="B24" s="183" t="s">
        <v>301</v>
      </c>
      <c r="C24" s="195">
        <v>39687</v>
      </c>
      <c r="D24" s="191" t="s">
        <v>302</v>
      </c>
      <c r="E24" s="184" t="s">
        <v>52</v>
      </c>
      <c r="F24" s="196" t="s">
        <v>92</v>
      </c>
      <c r="G24" s="197" t="s">
        <v>541</v>
      </c>
      <c r="H24" s="198">
        <v>21500</v>
      </c>
      <c r="I24" s="192" t="s">
        <v>16</v>
      </c>
      <c r="J24" s="191"/>
      <c r="K24" s="213"/>
    </row>
    <row r="25" spans="1:17" ht="76.5" customHeight="1">
      <c r="A25" s="206">
        <v>22</v>
      </c>
      <c r="B25" s="211" t="s">
        <v>301</v>
      </c>
      <c r="C25" s="195">
        <v>39687</v>
      </c>
      <c r="D25" s="183" t="s">
        <v>302</v>
      </c>
      <c r="E25" s="184" t="s">
        <v>52</v>
      </c>
      <c r="F25" s="204">
        <v>101923</v>
      </c>
      <c r="G25" s="197" t="s">
        <v>541</v>
      </c>
      <c r="H25" s="198">
        <v>21500</v>
      </c>
      <c r="I25" s="192" t="s">
        <v>16</v>
      </c>
      <c r="J25" s="191"/>
      <c r="K25" s="213"/>
    </row>
    <row r="26" spans="1:17" ht="76.5" customHeight="1">
      <c r="A26" s="206">
        <v>23</v>
      </c>
      <c r="B26" s="183" t="s">
        <v>301</v>
      </c>
      <c r="C26" s="195">
        <v>39687</v>
      </c>
      <c r="D26" s="183" t="s">
        <v>302</v>
      </c>
      <c r="E26" s="184" t="s">
        <v>52</v>
      </c>
      <c r="F26" s="196" t="s">
        <v>94</v>
      </c>
      <c r="G26" s="197" t="s">
        <v>541</v>
      </c>
      <c r="H26" s="198">
        <v>21500</v>
      </c>
      <c r="I26" s="192" t="s">
        <v>16</v>
      </c>
      <c r="J26" s="191"/>
      <c r="K26" s="213"/>
    </row>
    <row r="27" spans="1:17" ht="76.5" customHeight="1">
      <c r="A27" s="206">
        <v>24</v>
      </c>
      <c r="B27" s="183" t="s">
        <v>270</v>
      </c>
      <c r="C27" s="195">
        <v>39737</v>
      </c>
      <c r="D27" s="191" t="s">
        <v>271</v>
      </c>
      <c r="E27" s="184" t="s">
        <v>52</v>
      </c>
      <c r="F27" s="196" t="s">
        <v>95</v>
      </c>
      <c r="G27" s="197" t="s">
        <v>541</v>
      </c>
      <c r="H27" s="198">
        <v>21500</v>
      </c>
      <c r="I27" s="192" t="s">
        <v>16</v>
      </c>
      <c r="J27" s="191"/>
      <c r="K27" s="213"/>
    </row>
    <row r="28" spans="1:17" ht="76.5" customHeight="1">
      <c r="A28" s="206">
        <v>25</v>
      </c>
      <c r="B28" s="247" t="s">
        <v>270</v>
      </c>
      <c r="C28" s="400">
        <v>39737</v>
      </c>
      <c r="D28" s="247" t="s">
        <v>271</v>
      </c>
      <c r="E28" s="434" t="s">
        <v>52</v>
      </c>
      <c r="F28" s="402" t="s">
        <v>96</v>
      </c>
      <c r="G28" s="435" t="s">
        <v>541</v>
      </c>
      <c r="H28" s="436">
        <v>21500</v>
      </c>
      <c r="I28" s="192" t="s">
        <v>16</v>
      </c>
      <c r="J28" s="191"/>
      <c r="K28" s="213"/>
      <c r="O28" s="1"/>
      <c r="P28" s="1"/>
      <c r="Q28" s="1"/>
    </row>
    <row r="29" spans="1:17" ht="76.5" customHeight="1">
      <c r="A29" s="206">
        <v>26</v>
      </c>
      <c r="B29" s="211" t="s">
        <v>270</v>
      </c>
      <c r="C29" s="195">
        <v>39737</v>
      </c>
      <c r="D29" s="183" t="s">
        <v>271</v>
      </c>
      <c r="E29" s="184" t="s">
        <v>52</v>
      </c>
      <c r="F29" s="196" t="s">
        <v>97</v>
      </c>
      <c r="G29" s="197" t="s">
        <v>541</v>
      </c>
      <c r="H29" s="198">
        <v>21500</v>
      </c>
      <c r="I29" s="192" t="s">
        <v>16</v>
      </c>
      <c r="J29" s="191"/>
      <c r="K29" s="213"/>
    </row>
    <row r="30" spans="1:17" ht="76.5" customHeight="1">
      <c r="A30" s="206">
        <v>27</v>
      </c>
      <c r="B30" s="183" t="s">
        <v>278</v>
      </c>
      <c r="C30" s="195">
        <v>39818</v>
      </c>
      <c r="D30" s="191" t="s">
        <v>279</v>
      </c>
      <c r="E30" s="184" t="s">
        <v>52</v>
      </c>
      <c r="F30" s="196" t="s">
        <v>110</v>
      </c>
      <c r="G30" s="197" t="s">
        <v>541</v>
      </c>
      <c r="H30" s="198">
        <v>21500</v>
      </c>
      <c r="I30" s="192" t="s">
        <v>16</v>
      </c>
      <c r="J30" s="191"/>
      <c r="K30" s="213"/>
    </row>
    <row r="31" spans="1:17" ht="76.5" customHeight="1">
      <c r="A31" s="206">
        <v>28</v>
      </c>
      <c r="B31" s="183" t="s">
        <v>278</v>
      </c>
      <c r="C31" s="195">
        <v>39818</v>
      </c>
      <c r="D31" s="191" t="s">
        <v>279</v>
      </c>
      <c r="E31" s="184" t="s">
        <v>52</v>
      </c>
      <c r="F31" s="196" t="s">
        <v>130</v>
      </c>
      <c r="G31" s="197" t="s">
        <v>541</v>
      </c>
      <c r="H31" s="198">
        <v>21500</v>
      </c>
      <c r="I31" s="192" t="s">
        <v>16</v>
      </c>
      <c r="J31" s="191"/>
      <c r="K31" s="213"/>
    </row>
    <row r="32" spans="1:17" ht="76.5" customHeight="1">
      <c r="A32" s="206">
        <v>29</v>
      </c>
      <c r="B32" s="183" t="s">
        <v>278</v>
      </c>
      <c r="C32" s="195">
        <v>39818</v>
      </c>
      <c r="D32" s="191" t="s">
        <v>279</v>
      </c>
      <c r="E32" s="184" t="s">
        <v>52</v>
      </c>
      <c r="F32" s="196" t="s">
        <v>132</v>
      </c>
      <c r="G32" s="197" t="s">
        <v>541</v>
      </c>
      <c r="H32" s="198">
        <v>21500</v>
      </c>
      <c r="I32" s="192" t="s">
        <v>16</v>
      </c>
      <c r="J32" s="191"/>
      <c r="K32" s="213"/>
    </row>
    <row r="33" spans="1:17" ht="76.5" customHeight="1">
      <c r="A33" s="206">
        <v>30</v>
      </c>
      <c r="B33" s="195" t="s">
        <v>332</v>
      </c>
      <c r="C33" s="195">
        <v>41360</v>
      </c>
      <c r="D33" s="191" t="s">
        <v>333</v>
      </c>
      <c r="E33" s="184" t="s">
        <v>52</v>
      </c>
      <c r="F33" s="204">
        <v>102286</v>
      </c>
      <c r="G33" s="197" t="s">
        <v>335</v>
      </c>
      <c r="H33" s="207">
        <v>20000</v>
      </c>
      <c r="I33" s="192" t="s">
        <v>16</v>
      </c>
      <c r="J33" s="191"/>
      <c r="K33" s="213"/>
    </row>
    <row r="34" spans="1:17" ht="76.5" customHeight="1">
      <c r="A34" s="206">
        <v>31</v>
      </c>
      <c r="B34" s="183" t="s">
        <v>312</v>
      </c>
      <c r="C34" s="195">
        <v>39821</v>
      </c>
      <c r="D34" s="191" t="s">
        <v>313</v>
      </c>
      <c r="E34" s="184" t="s">
        <v>52</v>
      </c>
      <c r="F34" s="196" t="s">
        <v>136</v>
      </c>
      <c r="G34" s="197" t="s">
        <v>541</v>
      </c>
      <c r="H34" s="198">
        <v>21500</v>
      </c>
      <c r="I34" s="192" t="s">
        <v>16</v>
      </c>
      <c r="J34" s="191"/>
      <c r="K34" s="213"/>
    </row>
    <row r="35" spans="1:17" ht="76.5" customHeight="1">
      <c r="A35" s="206">
        <v>32</v>
      </c>
      <c r="B35" s="211" t="s">
        <v>312</v>
      </c>
      <c r="C35" s="195">
        <v>39821</v>
      </c>
      <c r="D35" s="191" t="s">
        <v>313</v>
      </c>
      <c r="E35" s="184" t="s">
        <v>52</v>
      </c>
      <c r="F35" s="196" t="s">
        <v>137</v>
      </c>
      <c r="G35" s="197" t="s">
        <v>541</v>
      </c>
      <c r="H35" s="198">
        <v>21500</v>
      </c>
      <c r="I35" s="192" t="s">
        <v>16</v>
      </c>
      <c r="J35" s="453"/>
      <c r="K35" s="213"/>
    </row>
    <row r="36" spans="1:17" ht="76.5" customHeight="1">
      <c r="A36" s="206">
        <v>33</v>
      </c>
      <c r="B36" s="183" t="s">
        <v>346</v>
      </c>
      <c r="C36" s="195">
        <v>40095</v>
      </c>
      <c r="D36" s="202" t="s">
        <v>347</v>
      </c>
      <c r="E36" s="184" t="s">
        <v>52</v>
      </c>
      <c r="F36" s="204" t="s">
        <v>158</v>
      </c>
      <c r="G36" s="197" t="s">
        <v>541</v>
      </c>
      <c r="H36" s="198">
        <v>21500</v>
      </c>
      <c r="I36" s="192" t="s">
        <v>16</v>
      </c>
      <c r="J36" s="191"/>
      <c r="K36" s="213"/>
    </row>
    <row r="37" spans="1:17" ht="76.5" customHeight="1">
      <c r="A37" s="206">
        <v>34</v>
      </c>
      <c r="B37" s="183" t="s">
        <v>294</v>
      </c>
      <c r="C37" s="195">
        <v>40238</v>
      </c>
      <c r="D37" s="202" t="s">
        <v>295</v>
      </c>
      <c r="E37" s="184" t="s">
        <v>52</v>
      </c>
      <c r="F37" s="196" t="s">
        <v>159</v>
      </c>
      <c r="G37" s="197" t="s">
        <v>541</v>
      </c>
      <c r="H37" s="198">
        <v>21500</v>
      </c>
      <c r="I37" s="192" t="s">
        <v>16</v>
      </c>
      <c r="J37" s="191"/>
      <c r="K37" s="213"/>
    </row>
    <row r="38" spans="1:17" ht="76.5" customHeight="1">
      <c r="A38" s="206">
        <v>35</v>
      </c>
      <c r="B38" s="183" t="s">
        <v>299</v>
      </c>
      <c r="C38" s="195">
        <v>40073</v>
      </c>
      <c r="D38" s="195" t="s">
        <v>300</v>
      </c>
      <c r="E38" s="184" t="s">
        <v>52</v>
      </c>
      <c r="F38" s="196" t="s">
        <v>160</v>
      </c>
      <c r="G38" s="197" t="s">
        <v>541</v>
      </c>
      <c r="H38" s="198">
        <v>21500</v>
      </c>
      <c r="I38" s="192" t="s">
        <v>16</v>
      </c>
      <c r="J38" s="191"/>
      <c r="K38" s="213"/>
    </row>
    <row r="39" spans="1:17" ht="76.5" customHeight="1">
      <c r="A39" s="206">
        <v>36</v>
      </c>
      <c r="B39" s="183" t="s">
        <v>339</v>
      </c>
      <c r="C39" s="183" t="s">
        <v>340</v>
      </c>
      <c r="D39" s="183" t="s">
        <v>341</v>
      </c>
      <c r="E39" s="184" t="s">
        <v>52</v>
      </c>
      <c r="F39" s="196" t="s">
        <v>161</v>
      </c>
      <c r="G39" s="197" t="s">
        <v>541</v>
      </c>
      <c r="H39" s="198">
        <v>22575</v>
      </c>
      <c r="I39" s="192" t="s">
        <v>16</v>
      </c>
      <c r="J39" s="497" t="s">
        <v>2282</v>
      </c>
      <c r="K39" s="497"/>
    </row>
    <row r="40" spans="1:17" ht="76.5" customHeight="1">
      <c r="A40" s="206">
        <v>37</v>
      </c>
      <c r="B40" s="211" t="s">
        <v>349</v>
      </c>
      <c r="C40" s="183" t="s">
        <v>350</v>
      </c>
      <c r="D40" s="191" t="s">
        <v>298</v>
      </c>
      <c r="E40" s="184" t="s">
        <v>52</v>
      </c>
      <c r="F40" s="196" t="s">
        <v>162</v>
      </c>
      <c r="G40" s="197" t="s">
        <v>541</v>
      </c>
      <c r="H40" s="198">
        <v>21500</v>
      </c>
      <c r="I40" s="192" t="s">
        <v>16</v>
      </c>
      <c r="J40" s="191"/>
      <c r="K40" s="213"/>
    </row>
    <row r="41" spans="1:17" ht="76.5" customHeight="1">
      <c r="A41" s="206">
        <v>38</v>
      </c>
      <c r="B41" s="211" t="s">
        <v>296</v>
      </c>
      <c r="C41" s="183" t="s">
        <v>297</v>
      </c>
      <c r="D41" s="191" t="s">
        <v>298</v>
      </c>
      <c r="E41" s="184" t="s">
        <v>52</v>
      </c>
      <c r="F41" s="196" t="s">
        <v>163</v>
      </c>
      <c r="G41" s="197" t="s">
        <v>541</v>
      </c>
      <c r="H41" s="198">
        <v>21500</v>
      </c>
      <c r="I41" s="192" t="s">
        <v>16</v>
      </c>
      <c r="J41" s="191"/>
      <c r="K41" s="213"/>
    </row>
    <row r="42" spans="1:17" ht="76.5" customHeight="1">
      <c r="A42" s="206">
        <v>39</v>
      </c>
      <c r="B42" s="183" t="s">
        <v>321</v>
      </c>
      <c r="C42" s="183" t="s">
        <v>322</v>
      </c>
      <c r="D42" s="191" t="s">
        <v>323</v>
      </c>
      <c r="E42" s="184" t="s">
        <v>52</v>
      </c>
      <c r="F42" s="196" t="s">
        <v>164</v>
      </c>
      <c r="G42" s="197" t="s">
        <v>541</v>
      </c>
      <c r="H42" s="198">
        <v>22575</v>
      </c>
      <c r="I42" s="192" t="s">
        <v>16</v>
      </c>
      <c r="J42" s="191"/>
      <c r="K42" s="213"/>
    </row>
    <row r="43" spans="1:17" ht="76.5" customHeight="1">
      <c r="A43" s="206">
        <v>40</v>
      </c>
      <c r="B43" s="211" t="s">
        <v>321</v>
      </c>
      <c r="C43" s="183" t="s">
        <v>322</v>
      </c>
      <c r="D43" s="191" t="s">
        <v>323</v>
      </c>
      <c r="E43" s="184" t="s">
        <v>52</v>
      </c>
      <c r="F43" s="196" t="s">
        <v>165</v>
      </c>
      <c r="G43" s="197" t="s">
        <v>541</v>
      </c>
      <c r="H43" s="198">
        <v>22575</v>
      </c>
      <c r="I43" s="192" t="s">
        <v>16</v>
      </c>
      <c r="J43" s="191"/>
      <c r="K43" s="213"/>
    </row>
    <row r="44" spans="1:17" ht="76.5" customHeight="1">
      <c r="A44" s="206">
        <v>41</v>
      </c>
      <c r="B44" s="247" t="s">
        <v>287</v>
      </c>
      <c r="C44" s="400" t="s">
        <v>288</v>
      </c>
      <c r="D44" s="247" t="s">
        <v>289</v>
      </c>
      <c r="E44" s="434" t="s">
        <v>52</v>
      </c>
      <c r="F44" s="402" t="s">
        <v>167</v>
      </c>
      <c r="G44" s="435" t="s">
        <v>541</v>
      </c>
      <c r="H44" s="436">
        <v>22575</v>
      </c>
      <c r="I44" s="192" t="s">
        <v>16</v>
      </c>
      <c r="J44" s="191"/>
      <c r="K44" s="213"/>
      <c r="P44" s="1"/>
      <c r="Q44" s="1"/>
    </row>
    <row r="45" spans="1:17" ht="76.5" customHeight="1">
      <c r="A45" s="206">
        <v>42</v>
      </c>
      <c r="B45" s="211" t="s">
        <v>542</v>
      </c>
      <c r="C45" s="195">
        <v>43465</v>
      </c>
      <c r="D45" s="191" t="s">
        <v>543</v>
      </c>
      <c r="E45" s="184" t="s">
        <v>518</v>
      </c>
      <c r="F45" s="204" t="s">
        <v>533</v>
      </c>
      <c r="G45" s="197" t="s">
        <v>544</v>
      </c>
      <c r="H45" s="198">
        <v>24100</v>
      </c>
      <c r="I45" s="192" t="s">
        <v>16</v>
      </c>
      <c r="J45" s="191"/>
      <c r="K45" s="213"/>
    </row>
    <row r="46" spans="1:17" ht="76.5" customHeight="1">
      <c r="A46" s="206">
        <v>43</v>
      </c>
      <c r="B46" s="183" t="s">
        <v>907</v>
      </c>
      <c r="C46" s="195">
        <v>43656</v>
      </c>
      <c r="D46" s="191" t="s">
        <v>906</v>
      </c>
      <c r="E46" s="184" t="s">
        <v>518</v>
      </c>
      <c r="F46" s="196" t="s">
        <v>817</v>
      </c>
      <c r="G46" s="197" t="s">
        <v>544</v>
      </c>
      <c r="H46" s="198">
        <v>24100</v>
      </c>
      <c r="I46" s="192" t="s">
        <v>16</v>
      </c>
      <c r="J46" s="191"/>
      <c r="K46" s="213"/>
    </row>
    <row r="47" spans="1:17" ht="76.5" customHeight="1">
      <c r="A47" s="206">
        <v>44</v>
      </c>
      <c r="B47" s="183" t="s">
        <v>1038</v>
      </c>
      <c r="C47" s="195">
        <v>43668</v>
      </c>
      <c r="D47" s="191" t="s">
        <v>906</v>
      </c>
      <c r="E47" s="184" t="s">
        <v>518</v>
      </c>
      <c r="F47" s="196" t="s">
        <v>1033</v>
      </c>
      <c r="G47" s="197" t="s">
        <v>544</v>
      </c>
      <c r="H47" s="198">
        <v>24100</v>
      </c>
      <c r="I47" s="192" t="s">
        <v>16</v>
      </c>
      <c r="J47" s="191"/>
      <c r="K47" s="213"/>
    </row>
    <row r="48" spans="1:17" ht="76.5" customHeight="1">
      <c r="A48" s="206">
        <v>45</v>
      </c>
      <c r="B48" s="183" t="s">
        <v>1197</v>
      </c>
      <c r="C48" s="195">
        <v>43794</v>
      </c>
      <c r="D48" s="191" t="s">
        <v>1187</v>
      </c>
      <c r="E48" s="184" t="s">
        <v>518</v>
      </c>
      <c r="F48" s="196" t="s">
        <v>1179</v>
      </c>
      <c r="G48" s="197" t="s">
        <v>544</v>
      </c>
      <c r="H48" s="198">
        <v>21300</v>
      </c>
      <c r="I48" s="192" t="s">
        <v>16</v>
      </c>
      <c r="J48" s="191"/>
      <c r="K48" s="213"/>
      <c r="M48" s="21"/>
      <c r="N48" s="1"/>
      <c r="O48" s="1"/>
      <c r="P48" s="1"/>
    </row>
    <row r="49" spans="1:16" ht="76.5" customHeight="1">
      <c r="A49" s="206">
        <v>46</v>
      </c>
      <c r="B49" s="183" t="s">
        <v>1196</v>
      </c>
      <c r="C49" s="195">
        <v>43794</v>
      </c>
      <c r="D49" s="191" t="s">
        <v>1175</v>
      </c>
      <c r="E49" s="184" t="s">
        <v>518</v>
      </c>
      <c r="F49" s="196" t="s">
        <v>1172</v>
      </c>
      <c r="G49" s="197" t="s">
        <v>544</v>
      </c>
      <c r="H49" s="198">
        <v>21300</v>
      </c>
      <c r="I49" s="192" t="s">
        <v>16</v>
      </c>
      <c r="J49" s="191"/>
      <c r="K49" s="213"/>
    </row>
    <row r="50" spans="1:16" ht="76.5" customHeight="1">
      <c r="A50" s="206">
        <v>47</v>
      </c>
      <c r="B50" s="183" t="s">
        <v>1399</v>
      </c>
      <c r="C50" s="195">
        <v>44202</v>
      </c>
      <c r="D50" s="191" t="s">
        <v>1400</v>
      </c>
      <c r="E50" s="184" t="s">
        <v>518</v>
      </c>
      <c r="F50" s="196" t="s">
        <v>1314</v>
      </c>
      <c r="G50" s="197" t="s">
        <v>544</v>
      </c>
      <c r="H50" s="198">
        <v>21300</v>
      </c>
      <c r="I50" s="192" t="s">
        <v>16</v>
      </c>
      <c r="J50" s="191"/>
      <c r="K50" s="213"/>
    </row>
    <row r="51" spans="1:16" ht="76.5" customHeight="1">
      <c r="A51" s="206">
        <v>48</v>
      </c>
      <c r="B51" s="183" t="s">
        <v>1395</v>
      </c>
      <c r="C51" s="195">
        <v>44180</v>
      </c>
      <c r="D51" s="191" t="s">
        <v>1394</v>
      </c>
      <c r="E51" s="184" t="s">
        <v>518</v>
      </c>
      <c r="F51" s="196" t="s">
        <v>1332</v>
      </c>
      <c r="G51" s="197" t="s">
        <v>544</v>
      </c>
      <c r="H51" s="198">
        <v>21300</v>
      </c>
      <c r="I51" s="192" t="s">
        <v>16</v>
      </c>
      <c r="J51" s="191"/>
      <c r="K51" s="213"/>
    </row>
    <row r="52" spans="1:16" ht="76.5" customHeight="1">
      <c r="A52" s="206">
        <v>49</v>
      </c>
      <c r="B52" s="183" t="s">
        <v>1429</v>
      </c>
      <c r="C52" s="195">
        <v>44265</v>
      </c>
      <c r="D52" s="191" t="s">
        <v>1418</v>
      </c>
      <c r="E52" s="184" t="s">
        <v>518</v>
      </c>
      <c r="F52" s="196" t="s">
        <v>1426</v>
      </c>
      <c r="G52" s="197" t="s">
        <v>1430</v>
      </c>
      <c r="H52" s="215">
        <v>14500</v>
      </c>
      <c r="I52" s="192" t="s">
        <v>16</v>
      </c>
      <c r="J52" s="191"/>
      <c r="K52" s="213"/>
    </row>
    <row r="53" spans="1:16" ht="76.5" customHeight="1">
      <c r="A53" s="206">
        <v>50</v>
      </c>
      <c r="B53" s="183" t="s">
        <v>1429</v>
      </c>
      <c r="C53" s="195">
        <v>44265</v>
      </c>
      <c r="D53" s="191" t="s">
        <v>1418</v>
      </c>
      <c r="E53" s="184" t="s">
        <v>518</v>
      </c>
      <c r="F53" s="196" t="s">
        <v>1427</v>
      </c>
      <c r="G53" s="197" t="s">
        <v>1430</v>
      </c>
      <c r="H53" s="215">
        <v>14500</v>
      </c>
      <c r="I53" s="192" t="s">
        <v>16</v>
      </c>
      <c r="J53" s="191"/>
      <c r="K53" s="213"/>
      <c r="M53" s="21"/>
      <c r="N53" s="1"/>
      <c r="O53" s="1"/>
      <c r="P53" s="1"/>
    </row>
    <row r="54" spans="1:16" ht="76.5" customHeight="1">
      <c r="A54" s="206">
        <v>51</v>
      </c>
      <c r="B54" s="206" t="s">
        <v>1586</v>
      </c>
      <c r="C54" s="195">
        <v>44480</v>
      </c>
      <c r="D54" s="191" t="s">
        <v>1551</v>
      </c>
      <c r="E54" s="184" t="s">
        <v>1552</v>
      </c>
      <c r="F54" s="196" t="s">
        <v>1579</v>
      </c>
      <c r="G54" s="326" t="s">
        <v>1554</v>
      </c>
      <c r="H54" s="198">
        <v>21500</v>
      </c>
      <c r="I54" s="192" t="s">
        <v>16</v>
      </c>
      <c r="J54" s="191"/>
      <c r="K54" s="213"/>
    </row>
    <row r="55" spans="1:16" ht="76.5" customHeight="1">
      <c r="A55" s="206">
        <v>52</v>
      </c>
      <c r="B55" s="206" t="s">
        <v>1586</v>
      </c>
      <c r="C55" s="195">
        <v>44480</v>
      </c>
      <c r="D55" s="213" t="s">
        <v>1551</v>
      </c>
      <c r="E55" s="434" t="s">
        <v>1975</v>
      </c>
      <c r="F55" s="196" t="s">
        <v>1577</v>
      </c>
      <c r="G55" s="326" t="s">
        <v>1554</v>
      </c>
      <c r="H55" s="198">
        <v>21500</v>
      </c>
      <c r="I55" s="192" t="s">
        <v>16</v>
      </c>
      <c r="J55" s="191"/>
      <c r="K55" s="213"/>
    </row>
    <row r="56" spans="1:16" s="328" customFormat="1" ht="76.5" customHeight="1">
      <c r="A56" s="206">
        <v>53</v>
      </c>
      <c r="B56" s="214" t="s">
        <v>1818</v>
      </c>
      <c r="C56" s="195">
        <v>44859</v>
      </c>
      <c r="D56" s="214" t="s">
        <v>1819</v>
      </c>
      <c r="E56" s="184" t="s">
        <v>1552</v>
      </c>
      <c r="F56" s="196" t="s">
        <v>1820</v>
      </c>
      <c r="G56" s="326" t="s">
        <v>1554</v>
      </c>
      <c r="H56" s="198">
        <v>22300</v>
      </c>
      <c r="I56" s="192" t="s">
        <v>16</v>
      </c>
      <c r="J56" s="191"/>
      <c r="K56" s="213"/>
      <c r="L56" s="199"/>
      <c r="M56" s="199"/>
    </row>
    <row r="57" spans="1:16" ht="76.5" customHeight="1">
      <c r="A57" s="206">
        <v>54</v>
      </c>
      <c r="B57" s="213" t="s">
        <v>1615</v>
      </c>
      <c r="C57" s="195">
        <v>44500</v>
      </c>
      <c r="D57" s="213" t="s">
        <v>1616</v>
      </c>
      <c r="E57" s="184" t="s">
        <v>257</v>
      </c>
      <c r="F57" s="204" t="s">
        <v>1620</v>
      </c>
      <c r="G57" s="326" t="s">
        <v>1559</v>
      </c>
      <c r="H57" s="198">
        <v>11215</v>
      </c>
      <c r="I57" s="192" t="s">
        <v>16</v>
      </c>
      <c r="J57" s="191"/>
      <c r="K57" s="213"/>
    </row>
    <row r="58" spans="1:16" ht="76.5" customHeight="1">
      <c r="A58" s="206">
        <v>55</v>
      </c>
      <c r="B58" s="206" t="s">
        <v>1615</v>
      </c>
      <c r="C58" s="195">
        <v>44500</v>
      </c>
      <c r="D58" s="206" t="s">
        <v>1616</v>
      </c>
      <c r="E58" s="184" t="s">
        <v>257</v>
      </c>
      <c r="F58" s="204" t="s">
        <v>1618</v>
      </c>
      <c r="G58" s="326" t="s">
        <v>1559</v>
      </c>
      <c r="H58" s="198">
        <v>11215</v>
      </c>
      <c r="I58" s="192" t="s">
        <v>16</v>
      </c>
      <c r="J58" s="191"/>
      <c r="K58" s="213"/>
    </row>
    <row r="59" spans="1:16" s="328" customFormat="1" ht="76.5" customHeight="1">
      <c r="A59" s="206">
        <v>56</v>
      </c>
      <c r="B59" s="214" t="s">
        <v>1640</v>
      </c>
      <c r="C59" s="195">
        <v>44538</v>
      </c>
      <c r="D59" s="214" t="s">
        <v>1641</v>
      </c>
      <c r="E59" s="184" t="s">
        <v>257</v>
      </c>
      <c r="F59" s="196" t="s">
        <v>1644</v>
      </c>
      <c r="G59" s="326" t="s">
        <v>1559</v>
      </c>
      <c r="H59" s="198">
        <v>11215</v>
      </c>
      <c r="I59" s="192" t="s">
        <v>16</v>
      </c>
      <c r="J59" s="191"/>
      <c r="K59" s="385"/>
      <c r="L59" s="199"/>
      <c r="O59" s="411"/>
    </row>
    <row r="60" spans="1:16" ht="76.5" customHeight="1">
      <c r="A60" s="206">
        <v>57</v>
      </c>
      <c r="B60" s="214" t="s">
        <v>1865</v>
      </c>
      <c r="C60" s="400">
        <v>44972</v>
      </c>
      <c r="D60" s="214" t="s">
        <v>1849</v>
      </c>
      <c r="E60" s="396" t="s">
        <v>1850</v>
      </c>
      <c r="F60" s="196" t="s">
        <v>1860</v>
      </c>
      <c r="G60" s="397" t="s">
        <v>1852</v>
      </c>
      <c r="H60" s="395">
        <v>16500</v>
      </c>
      <c r="I60" s="192" t="s">
        <v>16</v>
      </c>
      <c r="J60" s="191"/>
      <c r="K60" s="213"/>
    </row>
  </sheetData>
  <mergeCells count="1">
    <mergeCell ref="A1:I1"/>
  </mergeCells>
  <phoneticPr fontId="36" type="noConversion"/>
  <printOptions horizontalCentered="1"/>
  <pageMargins left="0" right="0" top="0.23622047244094499" bottom="0.23622047244094499" header="0.511811023622047" footer="0.511811023622047"/>
  <pageSetup paperSize="9" scale="90" orientation="portrait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5">
    <tabColor rgb="FF00B050"/>
    <pageSetUpPr fitToPage="1"/>
  </sheetPr>
  <dimension ref="A1:BX268"/>
  <sheetViews>
    <sheetView zoomScale="115" zoomScaleNormal="115" zoomScaleSheetLayoutView="85" workbookViewId="0">
      <pane ySplit="3" topLeftCell="A265" activePane="bottomLeft" state="frozen"/>
      <selection pane="bottomLeft" activeCell="A3" sqref="A3:K268"/>
    </sheetView>
  </sheetViews>
  <sheetFormatPr defaultColWidth="8.85546875" defaultRowHeight="12.75"/>
  <cols>
    <col min="1" max="1" width="4.5703125" style="219" bestFit="1" customWidth="1"/>
    <col min="2" max="2" width="13.140625" style="199" bestFit="1" customWidth="1"/>
    <col min="3" max="3" width="10.5703125" style="199" bestFit="1" customWidth="1"/>
    <col min="4" max="4" width="9.28515625" style="216" bestFit="1" customWidth="1"/>
    <col min="5" max="5" width="22.42578125" style="220" bestFit="1" customWidth="1"/>
    <col min="6" max="6" width="10.7109375" style="221" customWidth="1"/>
    <col min="7" max="7" width="55.7109375" style="199" hidden="1" customWidth="1"/>
    <col min="8" max="8" width="14.85546875" style="199" hidden="1" customWidth="1"/>
    <col min="9" max="9" width="48.28515625" style="324" bestFit="1" customWidth="1"/>
    <col min="10" max="10" width="21.140625" style="324" bestFit="1" customWidth="1"/>
    <col min="11" max="11" width="13.140625" style="199" bestFit="1" customWidth="1"/>
    <col min="12" max="16384" width="8.85546875" style="199"/>
  </cols>
  <sheetData>
    <row r="1" spans="1:76" ht="18">
      <c r="A1" s="549" t="s">
        <v>208</v>
      </c>
      <c r="B1" s="549"/>
      <c r="C1" s="549"/>
      <c r="D1" s="549"/>
      <c r="E1" s="549"/>
      <c r="F1" s="549"/>
      <c r="G1" s="549"/>
      <c r="H1" s="549"/>
      <c r="I1" s="549"/>
      <c r="J1" s="77">
        <v>45993</v>
      </c>
    </row>
    <row r="2" spans="1:76">
      <c r="A2" s="199"/>
      <c r="J2" s="218"/>
    </row>
    <row r="3" spans="1:76" s="505" customFormat="1" ht="50.1" customHeight="1">
      <c r="A3" s="511" t="s">
        <v>261</v>
      </c>
      <c r="B3" s="513" t="s">
        <v>267</v>
      </c>
      <c r="C3" s="513" t="s">
        <v>268</v>
      </c>
      <c r="D3" s="516" t="s">
        <v>269</v>
      </c>
      <c r="E3" s="514" t="s">
        <v>0</v>
      </c>
      <c r="F3" s="514" t="s">
        <v>1</v>
      </c>
      <c r="G3" s="515" t="s">
        <v>6</v>
      </c>
      <c r="H3" s="515" t="s">
        <v>206</v>
      </c>
      <c r="I3" s="515" t="s">
        <v>2</v>
      </c>
      <c r="J3" s="515" t="s">
        <v>207</v>
      </c>
      <c r="K3" s="513" t="s">
        <v>1811</v>
      </c>
    </row>
    <row r="4" spans="1:76" s="329" customFormat="1" ht="76.5" customHeight="1">
      <c r="A4" s="206">
        <v>1</v>
      </c>
      <c r="B4" s="214" t="s">
        <v>1647</v>
      </c>
      <c r="C4" s="195">
        <v>44564</v>
      </c>
      <c r="D4" s="214" t="s">
        <v>1648</v>
      </c>
      <c r="E4" s="184" t="s">
        <v>1975</v>
      </c>
      <c r="F4" s="196" t="s">
        <v>1650</v>
      </c>
      <c r="G4" s="326" t="s">
        <v>1554</v>
      </c>
      <c r="H4" s="198">
        <v>21500</v>
      </c>
      <c r="I4" s="192" t="s">
        <v>2082</v>
      </c>
      <c r="J4" s="191" t="s">
        <v>2083</v>
      </c>
      <c r="K4" s="213"/>
      <c r="L4" s="199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328"/>
      <c r="X4" s="328"/>
      <c r="Y4" s="328"/>
      <c r="Z4" s="328"/>
      <c r="AA4" s="328"/>
      <c r="AB4" s="328"/>
      <c r="AC4" s="328"/>
      <c r="AD4" s="328"/>
      <c r="AE4" s="328"/>
      <c r="AF4" s="328"/>
      <c r="AG4" s="328"/>
      <c r="AH4" s="328"/>
      <c r="AI4" s="328"/>
      <c r="AJ4" s="328"/>
      <c r="AK4" s="328"/>
      <c r="AL4" s="328"/>
      <c r="AM4" s="328"/>
      <c r="AN4" s="328"/>
      <c r="AO4" s="328"/>
      <c r="AP4" s="328"/>
      <c r="AQ4" s="328"/>
      <c r="AR4" s="328"/>
      <c r="AS4" s="328"/>
      <c r="AT4" s="328"/>
      <c r="AU4" s="328"/>
      <c r="AV4" s="328"/>
      <c r="AW4" s="328"/>
      <c r="AX4" s="328"/>
      <c r="AY4" s="328"/>
      <c r="AZ4" s="328"/>
      <c r="BA4" s="328"/>
      <c r="BB4" s="328"/>
      <c r="BC4" s="328"/>
      <c r="BD4" s="328"/>
      <c r="BE4" s="328"/>
      <c r="BF4" s="328"/>
      <c r="BG4" s="328"/>
      <c r="BH4" s="328"/>
      <c r="BI4" s="328"/>
      <c r="BJ4" s="328"/>
      <c r="BK4" s="328"/>
      <c r="BL4" s="328"/>
      <c r="BM4" s="328"/>
      <c r="BN4" s="328"/>
      <c r="BO4" s="328"/>
      <c r="BP4" s="328"/>
      <c r="BQ4" s="328"/>
      <c r="BR4" s="328"/>
      <c r="BS4" s="328"/>
      <c r="BT4" s="328"/>
      <c r="BU4" s="328"/>
      <c r="BV4" s="328"/>
      <c r="BW4" s="328"/>
      <c r="BX4" s="328"/>
    </row>
    <row r="5" spans="1:76" s="411" customFormat="1" ht="76.5" customHeight="1">
      <c r="A5" s="206">
        <v>2</v>
      </c>
      <c r="B5" s="247" t="s">
        <v>2100</v>
      </c>
      <c r="C5" s="400">
        <v>45366</v>
      </c>
      <c r="D5" s="247" t="s">
        <v>2086</v>
      </c>
      <c r="E5" s="434" t="s">
        <v>1975</v>
      </c>
      <c r="F5" s="402" t="s">
        <v>2094</v>
      </c>
      <c r="G5" s="435" t="s">
        <v>1983</v>
      </c>
      <c r="H5" s="436">
        <v>22300</v>
      </c>
      <c r="I5" s="192" t="s">
        <v>2101</v>
      </c>
      <c r="J5" s="191" t="s">
        <v>2083</v>
      </c>
      <c r="K5" s="191"/>
    </row>
    <row r="6" spans="1:76" ht="76.5" customHeight="1">
      <c r="A6" s="206">
        <v>3</v>
      </c>
      <c r="B6" s="183" t="s">
        <v>907</v>
      </c>
      <c r="C6" s="195">
        <v>43656</v>
      </c>
      <c r="D6" s="191" t="s">
        <v>906</v>
      </c>
      <c r="E6" s="184" t="s">
        <v>518</v>
      </c>
      <c r="F6" s="196" t="s">
        <v>823</v>
      </c>
      <c r="G6" s="197" t="s">
        <v>544</v>
      </c>
      <c r="H6" s="198">
        <v>24100</v>
      </c>
      <c r="I6" s="192" t="s">
        <v>2302</v>
      </c>
      <c r="J6" s="191" t="s">
        <v>2304</v>
      </c>
      <c r="K6" s="213"/>
    </row>
    <row r="7" spans="1:76" s="411" customFormat="1" ht="76.5" customHeight="1">
      <c r="A7" s="206">
        <v>4</v>
      </c>
      <c r="B7" s="247" t="s">
        <v>2179</v>
      </c>
      <c r="C7" s="400">
        <v>45391</v>
      </c>
      <c r="D7" s="247" t="s">
        <v>2086</v>
      </c>
      <c r="E7" s="434" t="s">
        <v>1975</v>
      </c>
      <c r="F7" s="402" t="s">
        <v>2122</v>
      </c>
      <c r="G7" s="435" t="s">
        <v>1983</v>
      </c>
      <c r="H7" s="436">
        <v>22302</v>
      </c>
      <c r="I7" s="192" t="s">
        <v>2303</v>
      </c>
      <c r="J7" s="191" t="s">
        <v>2304</v>
      </c>
      <c r="K7" s="191"/>
    </row>
    <row r="8" spans="1:76" ht="76.5" customHeight="1">
      <c r="A8" s="206">
        <v>5</v>
      </c>
      <c r="B8" s="183" t="s">
        <v>1197</v>
      </c>
      <c r="C8" s="195">
        <v>43794</v>
      </c>
      <c r="D8" s="191" t="s">
        <v>1187</v>
      </c>
      <c r="E8" s="184" t="s">
        <v>518</v>
      </c>
      <c r="F8" s="196" t="s">
        <v>1181</v>
      </c>
      <c r="G8" s="197" t="s">
        <v>544</v>
      </c>
      <c r="H8" s="198">
        <v>21300</v>
      </c>
      <c r="I8" s="192" t="s">
        <v>2045</v>
      </c>
      <c r="J8" s="191" t="s">
        <v>2044</v>
      </c>
      <c r="K8" s="213"/>
    </row>
    <row r="9" spans="1:76" ht="76.5" customHeight="1">
      <c r="A9" s="206">
        <v>6</v>
      </c>
      <c r="B9" s="214" t="s">
        <v>1865</v>
      </c>
      <c r="C9" s="398">
        <v>44972</v>
      </c>
      <c r="D9" s="214" t="s">
        <v>1849</v>
      </c>
      <c r="E9" s="396" t="s">
        <v>1850</v>
      </c>
      <c r="F9" s="204" t="s">
        <v>1861</v>
      </c>
      <c r="G9" s="397" t="s">
        <v>1852</v>
      </c>
      <c r="H9" s="395">
        <v>16500</v>
      </c>
      <c r="I9" s="192" t="s">
        <v>2046</v>
      </c>
      <c r="J9" s="191" t="s">
        <v>2044</v>
      </c>
      <c r="K9" s="213"/>
    </row>
    <row r="10" spans="1:76" ht="76.5" customHeight="1">
      <c r="A10" s="206">
        <v>7</v>
      </c>
      <c r="B10" s="183" t="s">
        <v>1037</v>
      </c>
      <c r="C10" s="195">
        <v>43664</v>
      </c>
      <c r="D10" s="191" t="s">
        <v>906</v>
      </c>
      <c r="E10" s="184" t="s">
        <v>518</v>
      </c>
      <c r="F10" s="196" t="s">
        <v>877</v>
      </c>
      <c r="G10" s="197" t="s">
        <v>544</v>
      </c>
      <c r="H10" s="198">
        <v>24100</v>
      </c>
      <c r="I10" s="192" t="s">
        <v>2047</v>
      </c>
      <c r="J10" s="191" t="s">
        <v>2044</v>
      </c>
      <c r="K10" s="213"/>
    </row>
    <row r="11" spans="1:76" ht="76.5" customHeight="1">
      <c r="A11" s="206">
        <v>8</v>
      </c>
      <c r="B11" s="183" t="s">
        <v>1039</v>
      </c>
      <c r="C11" s="195">
        <v>43661</v>
      </c>
      <c r="D11" s="183" t="s">
        <v>906</v>
      </c>
      <c r="E11" s="184" t="s">
        <v>518</v>
      </c>
      <c r="F11" s="196" t="s">
        <v>858</v>
      </c>
      <c r="G11" s="197" t="s">
        <v>544</v>
      </c>
      <c r="H11" s="198">
        <v>24100</v>
      </c>
      <c r="I11" s="192" t="s">
        <v>2048</v>
      </c>
      <c r="J11" s="191" t="s">
        <v>2044</v>
      </c>
      <c r="K11" s="213"/>
    </row>
    <row r="12" spans="1:76" ht="76.5" customHeight="1">
      <c r="A12" s="206">
        <v>9</v>
      </c>
      <c r="B12" s="183" t="s">
        <v>1039</v>
      </c>
      <c r="C12" s="195">
        <v>43661</v>
      </c>
      <c r="D12" s="183" t="s">
        <v>906</v>
      </c>
      <c r="E12" s="184" t="s">
        <v>518</v>
      </c>
      <c r="F12" s="196" t="s">
        <v>861</v>
      </c>
      <c r="G12" s="197" t="s">
        <v>544</v>
      </c>
      <c r="H12" s="198">
        <v>24100</v>
      </c>
      <c r="I12" s="192" t="s">
        <v>2049</v>
      </c>
      <c r="J12" s="191" t="s">
        <v>2044</v>
      </c>
      <c r="K12" s="213"/>
    </row>
    <row r="13" spans="1:76" ht="76.5" customHeight="1">
      <c r="A13" s="206">
        <v>10</v>
      </c>
      <c r="B13" s="183" t="s">
        <v>1196</v>
      </c>
      <c r="C13" s="195">
        <v>43794</v>
      </c>
      <c r="D13" s="191" t="s">
        <v>1175</v>
      </c>
      <c r="E13" s="184" t="s">
        <v>518</v>
      </c>
      <c r="F13" s="196" t="s">
        <v>1174</v>
      </c>
      <c r="G13" s="197" t="s">
        <v>544</v>
      </c>
      <c r="H13" s="198">
        <v>21300</v>
      </c>
      <c r="I13" s="192" t="s">
        <v>2013</v>
      </c>
      <c r="J13" s="191" t="s">
        <v>2012</v>
      </c>
      <c r="K13" s="213"/>
    </row>
    <row r="14" spans="1:76" ht="76.5" customHeight="1">
      <c r="A14" s="206">
        <v>11</v>
      </c>
      <c r="B14" s="247" t="s">
        <v>1900</v>
      </c>
      <c r="C14" s="400">
        <v>45044</v>
      </c>
      <c r="D14" s="247" t="s">
        <v>1879</v>
      </c>
      <c r="E14" s="401" t="s">
        <v>1880</v>
      </c>
      <c r="F14" s="402" t="s">
        <v>1881</v>
      </c>
      <c r="G14" s="403" t="s">
        <v>1882</v>
      </c>
      <c r="H14" s="405">
        <v>22300</v>
      </c>
      <c r="I14" s="192" t="s">
        <v>2014</v>
      </c>
      <c r="J14" s="191" t="s">
        <v>2012</v>
      </c>
      <c r="K14" s="481"/>
    </row>
    <row r="15" spans="1:76" ht="76.5" customHeight="1">
      <c r="A15" s="206">
        <v>12</v>
      </c>
      <c r="B15" s="183" t="s">
        <v>1429</v>
      </c>
      <c r="C15" s="195">
        <v>44265</v>
      </c>
      <c r="D15" s="191" t="s">
        <v>1418</v>
      </c>
      <c r="E15" s="184" t="s">
        <v>518</v>
      </c>
      <c r="F15" s="196" t="s">
        <v>1419</v>
      </c>
      <c r="G15" s="197" t="s">
        <v>1430</v>
      </c>
      <c r="H15" s="215">
        <v>14500</v>
      </c>
      <c r="I15" s="192" t="s">
        <v>2015</v>
      </c>
      <c r="J15" s="191" t="s">
        <v>2012</v>
      </c>
      <c r="K15" s="213"/>
    </row>
    <row r="16" spans="1:76" s="328" customFormat="1" ht="76.5" customHeight="1">
      <c r="A16" s="206">
        <v>13</v>
      </c>
      <c r="B16" s="247" t="s">
        <v>2201</v>
      </c>
      <c r="C16" s="400">
        <v>45625</v>
      </c>
      <c r="D16" s="247" t="s">
        <v>2200</v>
      </c>
      <c r="E16" s="434" t="s">
        <v>1975</v>
      </c>
      <c r="F16" s="402" t="s">
        <v>2198</v>
      </c>
      <c r="G16" s="435" t="s">
        <v>1983</v>
      </c>
      <c r="H16" s="436">
        <v>22300</v>
      </c>
      <c r="I16" s="192" t="s">
        <v>2227</v>
      </c>
      <c r="J16" s="191" t="s">
        <v>2226</v>
      </c>
      <c r="K16" s="191"/>
      <c r="L16" s="199"/>
      <c r="M16" s="199"/>
    </row>
    <row r="17" spans="1:76" ht="76.5" customHeight="1">
      <c r="A17" s="206">
        <v>14</v>
      </c>
      <c r="B17" s="183" t="s">
        <v>1038</v>
      </c>
      <c r="C17" s="195">
        <v>43668</v>
      </c>
      <c r="D17" s="191" t="s">
        <v>906</v>
      </c>
      <c r="E17" s="184" t="s">
        <v>518</v>
      </c>
      <c r="F17" s="196" t="s">
        <v>1031</v>
      </c>
      <c r="G17" s="197" t="s">
        <v>544</v>
      </c>
      <c r="H17" s="198">
        <v>24100</v>
      </c>
      <c r="I17" s="192" t="s">
        <v>2228</v>
      </c>
      <c r="J17" s="191" t="s">
        <v>2226</v>
      </c>
      <c r="K17" s="213"/>
    </row>
    <row r="18" spans="1:76" s="328" customFormat="1" ht="76.5" customHeight="1">
      <c r="A18" s="206">
        <v>15</v>
      </c>
      <c r="B18" s="247" t="s">
        <v>2201</v>
      </c>
      <c r="C18" s="400">
        <v>45625</v>
      </c>
      <c r="D18" s="247" t="s">
        <v>2200</v>
      </c>
      <c r="E18" s="434" t="s">
        <v>1975</v>
      </c>
      <c r="F18" s="402" t="s">
        <v>2197</v>
      </c>
      <c r="G18" s="435" t="s">
        <v>1983</v>
      </c>
      <c r="H18" s="436">
        <v>22300</v>
      </c>
      <c r="I18" s="192" t="s">
        <v>2242</v>
      </c>
      <c r="J18" s="191" t="s">
        <v>2226</v>
      </c>
      <c r="K18" s="191"/>
      <c r="L18" s="199"/>
      <c r="M18" s="199"/>
      <c r="N18" s="199"/>
    </row>
    <row r="19" spans="1:76" ht="76.5" customHeight="1">
      <c r="A19" s="206">
        <v>16</v>
      </c>
      <c r="B19" s="200" t="s">
        <v>1177</v>
      </c>
      <c r="C19" s="201">
        <v>43735</v>
      </c>
      <c r="D19" s="205" t="s">
        <v>1176</v>
      </c>
      <c r="E19" s="184" t="s">
        <v>518</v>
      </c>
      <c r="F19" s="196" t="s">
        <v>1127</v>
      </c>
      <c r="G19" s="197" t="s">
        <v>544</v>
      </c>
      <c r="H19" s="198">
        <v>21300</v>
      </c>
      <c r="I19" s="192" t="s">
        <v>2243</v>
      </c>
      <c r="J19" s="191" t="s">
        <v>2226</v>
      </c>
      <c r="K19" s="213"/>
    </row>
    <row r="20" spans="1:76" ht="76.5" customHeight="1">
      <c r="A20" s="206">
        <v>17</v>
      </c>
      <c r="B20" s="183" t="s">
        <v>1039</v>
      </c>
      <c r="C20" s="195">
        <v>43661</v>
      </c>
      <c r="D20" s="191" t="s">
        <v>906</v>
      </c>
      <c r="E20" s="184" t="s">
        <v>518</v>
      </c>
      <c r="F20" s="196" t="s">
        <v>857</v>
      </c>
      <c r="G20" s="197" t="s">
        <v>544</v>
      </c>
      <c r="H20" s="198">
        <v>24100</v>
      </c>
      <c r="I20" s="192" t="s">
        <v>2163</v>
      </c>
      <c r="J20" s="191" t="s">
        <v>2130</v>
      </c>
      <c r="K20" s="213"/>
    </row>
    <row r="21" spans="1:76" ht="76.5" customHeight="1">
      <c r="A21" s="206">
        <v>18</v>
      </c>
      <c r="B21" s="183" t="s">
        <v>1481</v>
      </c>
      <c r="C21" s="195">
        <v>44316</v>
      </c>
      <c r="D21" s="191" t="s">
        <v>1480</v>
      </c>
      <c r="E21" s="184" t="s">
        <v>518</v>
      </c>
      <c r="F21" s="196" t="s">
        <v>1442</v>
      </c>
      <c r="G21" s="197" t="s">
        <v>1430</v>
      </c>
      <c r="H21" s="215">
        <v>14500</v>
      </c>
      <c r="I21" s="192" t="s">
        <v>2168</v>
      </c>
      <c r="J21" s="191" t="s">
        <v>2130</v>
      </c>
      <c r="K21" s="213"/>
    </row>
    <row r="22" spans="1:76" s="411" customFormat="1" ht="76.5" customHeight="1">
      <c r="A22" s="206">
        <v>19</v>
      </c>
      <c r="B22" s="247" t="s">
        <v>2111</v>
      </c>
      <c r="C22" s="400">
        <v>45373</v>
      </c>
      <c r="D22" s="247" t="s">
        <v>2086</v>
      </c>
      <c r="E22" s="434" t="s">
        <v>1975</v>
      </c>
      <c r="F22" s="402" t="s">
        <v>2107</v>
      </c>
      <c r="G22" s="435" t="s">
        <v>1983</v>
      </c>
      <c r="H22" s="436">
        <v>22300</v>
      </c>
      <c r="I22" s="192" t="s">
        <v>2167</v>
      </c>
      <c r="J22" s="191" t="s">
        <v>2130</v>
      </c>
      <c r="K22" s="191"/>
    </row>
    <row r="23" spans="1:76" ht="76.5" customHeight="1">
      <c r="A23" s="206">
        <v>20</v>
      </c>
      <c r="B23" s="183" t="s">
        <v>1438</v>
      </c>
      <c r="C23" s="195">
        <v>44280</v>
      </c>
      <c r="D23" s="191" t="s">
        <v>1439</v>
      </c>
      <c r="E23" s="184" t="s">
        <v>518</v>
      </c>
      <c r="F23" s="196" t="s">
        <v>1433</v>
      </c>
      <c r="G23" s="197" t="s">
        <v>1430</v>
      </c>
      <c r="H23" s="215">
        <v>14500</v>
      </c>
      <c r="I23" s="192" t="s">
        <v>2166</v>
      </c>
      <c r="J23" s="191" t="s">
        <v>2130</v>
      </c>
      <c r="K23" s="213"/>
      <c r="O23" s="199" t="s">
        <v>740</v>
      </c>
    </row>
    <row r="24" spans="1:76" ht="76.5" customHeight="1">
      <c r="A24" s="206">
        <v>21</v>
      </c>
      <c r="B24" s="183" t="s">
        <v>1038</v>
      </c>
      <c r="C24" s="195">
        <v>43664</v>
      </c>
      <c r="D24" s="191" t="s">
        <v>906</v>
      </c>
      <c r="E24" s="208" t="s">
        <v>518</v>
      </c>
      <c r="F24" s="203" t="s">
        <v>1025</v>
      </c>
      <c r="G24" s="209" t="s">
        <v>544</v>
      </c>
      <c r="H24" s="210">
        <v>24100</v>
      </c>
      <c r="I24" s="192" t="s">
        <v>2165</v>
      </c>
      <c r="J24" s="191" t="s">
        <v>2130</v>
      </c>
      <c r="K24" s="213"/>
    </row>
    <row r="25" spans="1:76" s="411" customFormat="1" ht="76.5" customHeight="1">
      <c r="A25" s="206">
        <v>22</v>
      </c>
      <c r="B25" s="247" t="s">
        <v>2099</v>
      </c>
      <c r="C25" s="400">
        <v>45366</v>
      </c>
      <c r="D25" s="247" t="s">
        <v>2086</v>
      </c>
      <c r="E25" s="434" t="s">
        <v>1975</v>
      </c>
      <c r="F25" s="402" t="s">
        <v>2089</v>
      </c>
      <c r="G25" s="435" t="s">
        <v>1983</v>
      </c>
      <c r="H25" s="436">
        <v>22300</v>
      </c>
      <c r="I25" s="192" t="s">
        <v>2164</v>
      </c>
      <c r="J25" s="191" t="s">
        <v>2130</v>
      </c>
      <c r="K25" s="191"/>
    </row>
    <row r="26" spans="1:76" s="411" customFormat="1" ht="76.5" customHeight="1">
      <c r="A26" s="206">
        <v>23</v>
      </c>
      <c r="B26" s="247" t="s">
        <v>2181</v>
      </c>
      <c r="C26" s="400">
        <v>45420</v>
      </c>
      <c r="D26" s="247" t="s">
        <v>2125</v>
      </c>
      <c r="E26" s="434" t="s">
        <v>1975</v>
      </c>
      <c r="F26" s="402" t="s">
        <v>2124</v>
      </c>
      <c r="G26" s="435" t="s">
        <v>1983</v>
      </c>
      <c r="H26" s="436">
        <v>22300</v>
      </c>
      <c r="I26" s="192" t="s">
        <v>2169</v>
      </c>
      <c r="J26" s="191" t="s">
        <v>2130</v>
      </c>
      <c r="K26" s="191"/>
    </row>
    <row r="27" spans="1:76" s="411" customFormat="1" ht="76.5" customHeight="1">
      <c r="A27" s="206">
        <v>24</v>
      </c>
      <c r="B27" s="247" t="s">
        <v>2182</v>
      </c>
      <c r="C27" s="400">
        <v>45432</v>
      </c>
      <c r="D27" s="247" t="s">
        <v>2125</v>
      </c>
      <c r="E27" s="434" t="s">
        <v>1975</v>
      </c>
      <c r="F27" s="402" t="s">
        <v>2129</v>
      </c>
      <c r="G27" s="435" t="s">
        <v>1983</v>
      </c>
      <c r="H27" s="436">
        <v>22300</v>
      </c>
      <c r="I27" s="192" t="s">
        <v>2170</v>
      </c>
      <c r="J27" s="191" t="s">
        <v>2130</v>
      </c>
      <c r="K27" s="191"/>
    </row>
    <row r="28" spans="1:76" ht="76.5" customHeight="1">
      <c r="A28" s="206">
        <v>25</v>
      </c>
      <c r="B28" s="247" t="s">
        <v>1900</v>
      </c>
      <c r="C28" s="400">
        <v>45044</v>
      </c>
      <c r="D28" s="247" t="s">
        <v>1879</v>
      </c>
      <c r="E28" s="401" t="s">
        <v>1880</v>
      </c>
      <c r="F28" s="402" t="s">
        <v>1885</v>
      </c>
      <c r="G28" s="403" t="s">
        <v>1882</v>
      </c>
      <c r="H28" s="405">
        <v>22300</v>
      </c>
      <c r="I28" s="192" t="s">
        <v>2058</v>
      </c>
      <c r="J28" s="191" t="s">
        <v>2050</v>
      </c>
      <c r="K28" s="213"/>
    </row>
    <row r="29" spans="1:76" s="329" customFormat="1" ht="76.5" customHeight="1">
      <c r="A29" s="206">
        <v>26</v>
      </c>
      <c r="B29" s="214" t="s">
        <v>1647</v>
      </c>
      <c r="C29" s="195">
        <v>44564</v>
      </c>
      <c r="D29" s="214" t="s">
        <v>1648</v>
      </c>
      <c r="E29" s="184" t="s">
        <v>1552</v>
      </c>
      <c r="F29" s="196" t="s">
        <v>1652</v>
      </c>
      <c r="G29" s="326" t="s">
        <v>1554</v>
      </c>
      <c r="H29" s="198">
        <v>21500</v>
      </c>
      <c r="I29" s="192" t="s">
        <v>2059</v>
      </c>
      <c r="J29" s="191" t="s">
        <v>2050</v>
      </c>
      <c r="K29" s="213"/>
      <c r="L29" s="199"/>
      <c r="M29" s="328"/>
      <c r="N29" s="328"/>
      <c r="O29" s="328"/>
      <c r="P29" s="328"/>
      <c r="Q29" s="328"/>
      <c r="R29" s="328"/>
      <c r="S29" s="328"/>
      <c r="T29" s="328"/>
      <c r="U29" s="328"/>
      <c r="V29" s="328"/>
      <c r="W29" s="328"/>
      <c r="X29" s="328"/>
      <c r="Y29" s="328"/>
      <c r="Z29" s="328"/>
      <c r="AA29" s="328"/>
      <c r="AB29" s="328"/>
      <c r="AC29" s="328"/>
      <c r="AD29" s="328"/>
      <c r="AE29" s="328"/>
      <c r="AF29" s="328"/>
      <c r="AG29" s="328"/>
      <c r="AH29" s="328"/>
      <c r="AI29" s="328"/>
      <c r="AJ29" s="328"/>
      <c r="AK29" s="328"/>
      <c r="AL29" s="328"/>
      <c r="AM29" s="328"/>
      <c r="AN29" s="328"/>
      <c r="AO29" s="328"/>
      <c r="AP29" s="328"/>
      <c r="AQ29" s="328"/>
      <c r="AR29" s="328"/>
      <c r="AS29" s="328"/>
      <c r="AT29" s="328"/>
      <c r="AU29" s="328"/>
      <c r="AV29" s="328"/>
      <c r="AW29" s="328"/>
      <c r="AX29" s="328"/>
      <c r="AY29" s="328"/>
      <c r="AZ29" s="328"/>
      <c r="BA29" s="328"/>
      <c r="BB29" s="328"/>
      <c r="BC29" s="328"/>
      <c r="BD29" s="328"/>
      <c r="BE29" s="328"/>
      <c r="BF29" s="328"/>
      <c r="BG29" s="328"/>
      <c r="BH29" s="328"/>
      <c r="BI29" s="328"/>
      <c r="BJ29" s="328"/>
      <c r="BK29" s="328"/>
      <c r="BL29" s="328"/>
      <c r="BM29" s="328"/>
      <c r="BN29" s="328"/>
      <c r="BO29" s="328"/>
      <c r="BP29" s="328"/>
      <c r="BQ29" s="328"/>
      <c r="BR29" s="328"/>
      <c r="BS29" s="328"/>
      <c r="BT29" s="328"/>
      <c r="BU29" s="328"/>
      <c r="BV29" s="328"/>
      <c r="BW29" s="328"/>
      <c r="BX29" s="328"/>
    </row>
    <row r="30" spans="1:76" s="411" customFormat="1" ht="76.5" customHeight="1">
      <c r="A30" s="206">
        <v>27</v>
      </c>
      <c r="B30" s="247" t="s">
        <v>2026</v>
      </c>
      <c r="C30" s="400">
        <v>45237</v>
      </c>
      <c r="D30" s="247" t="s">
        <v>1974</v>
      </c>
      <c r="E30" s="434" t="s">
        <v>1975</v>
      </c>
      <c r="F30" s="402" t="s">
        <v>2025</v>
      </c>
      <c r="G30" s="435" t="s">
        <v>1983</v>
      </c>
      <c r="H30" s="436">
        <v>22300</v>
      </c>
      <c r="I30" s="192" t="s">
        <v>2193</v>
      </c>
      <c r="J30" s="191" t="s">
        <v>2050</v>
      </c>
      <c r="K30" s="213"/>
      <c r="O30" s="199"/>
    </row>
    <row r="31" spans="1:76" ht="76.5" customHeight="1">
      <c r="A31" s="206">
        <v>28</v>
      </c>
      <c r="B31" s="183" t="s">
        <v>907</v>
      </c>
      <c r="C31" s="195">
        <v>43656</v>
      </c>
      <c r="D31" s="183" t="s">
        <v>906</v>
      </c>
      <c r="E31" s="184" t="s">
        <v>518</v>
      </c>
      <c r="F31" s="196" t="s">
        <v>815</v>
      </c>
      <c r="G31" s="197" t="s">
        <v>544</v>
      </c>
      <c r="H31" s="198">
        <v>24100</v>
      </c>
      <c r="I31" s="192" t="s">
        <v>2214</v>
      </c>
      <c r="J31" s="191" t="s">
        <v>2050</v>
      </c>
      <c r="K31" s="115"/>
    </row>
    <row r="32" spans="1:76" s="411" customFormat="1" ht="76.5" customHeight="1">
      <c r="A32" s="206">
        <v>29</v>
      </c>
      <c r="B32" s="247" t="s">
        <v>2179</v>
      </c>
      <c r="C32" s="400">
        <v>45391</v>
      </c>
      <c r="D32" s="247" t="s">
        <v>2086</v>
      </c>
      <c r="E32" s="434" t="s">
        <v>1975</v>
      </c>
      <c r="F32" s="402" t="s">
        <v>2120</v>
      </c>
      <c r="G32" s="435" t="s">
        <v>1983</v>
      </c>
      <c r="H32" s="436">
        <v>22301</v>
      </c>
      <c r="I32" s="192" t="s">
        <v>2215</v>
      </c>
      <c r="J32" s="191" t="s">
        <v>2050</v>
      </c>
      <c r="K32" s="213"/>
    </row>
    <row r="33" spans="1:12" ht="76.5" customHeight="1">
      <c r="A33" s="206">
        <v>30</v>
      </c>
      <c r="B33" s="206" t="s">
        <v>1615</v>
      </c>
      <c r="C33" s="195">
        <v>44500</v>
      </c>
      <c r="D33" s="206" t="s">
        <v>1616</v>
      </c>
      <c r="E33" s="184" t="s">
        <v>257</v>
      </c>
      <c r="F33" s="196" t="s">
        <v>1617</v>
      </c>
      <c r="G33" s="326" t="s">
        <v>1559</v>
      </c>
      <c r="H33" s="198">
        <v>11215</v>
      </c>
      <c r="I33" s="192" t="s">
        <v>2051</v>
      </c>
      <c r="J33" s="191" t="s">
        <v>1925</v>
      </c>
      <c r="K33" s="213"/>
    </row>
    <row r="34" spans="1:12" ht="76.5" customHeight="1">
      <c r="A34" s="206">
        <v>31</v>
      </c>
      <c r="B34" s="206" t="s">
        <v>1901</v>
      </c>
      <c r="C34" s="195">
        <v>45044</v>
      </c>
      <c r="D34" s="206" t="s">
        <v>1879</v>
      </c>
      <c r="E34" s="184" t="s">
        <v>1850</v>
      </c>
      <c r="F34" s="196" t="s">
        <v>1897</v>
      </c>
      <c r="G34" s="326" t="s">
        <v>1984</v>
      </c>
      <c r="H34" s="198">
        <v>16500</v>
      </c>
      <c r="I34" s="192" t="s">
        <v>2052</v>
      </c>
      <c r="J34" s="191" t="s">
        <v>1925</v>
      </c>
      <c r="K34" s="213"/>
    </row>
    <row r="35" spans="1:12" ht="76.5" customHeight="1">
      <c r="A35" s="206">
        <v>32</v>
      </c>
      <c r="B35" s="206" t="s">
        <v>1586</v>
      </c>
      <c r="C35" s="195">
        <v>44480</v>
      </c>
      <c r="D35" s="213" t="s">
        <v>1551</v>
      </c>
      <c r="E35" s="184" t="s">
        <v>257</v>
      </c>
      <c r="F35" s="196" t="s">
        <v>1560</v>
      </c>
      <c r="G35" s="326" t="s">
        <v>1559</v>
      </c>
      <c r="H35" s="198">
        <v>11215</v>
      </c>
      <c r="I35" s="192" t="s">
        <v>2028</v>
      </c>
      <c r="J35" s="191" t="s">
        <v>1925</v>
      </c>
      <c r="K35" s="213"/>
    </row>
    <row r="36" spans="1:12" ht="76.5" customHeight="1">
      <c r="A36" s="206">
        <v>33</v>
      </c>
      <c r="B36" s="183" t="s">
        <v>1158</v>
      </c>
      <c r="C36" s="195">
        <v>43760</v>
      </c>
      <c r="D36" s="191" t="s">
        <v>1159</v>
      </c>
      <c r="E36" s="184" t="s">
        <v>518</v>
      </c>
      <c r="F36" s="196" t="s">
        <v>1145</v>
      </c>
      <c r="G36" s="197" t="s">
        <v>544</v>
      </c>
      <c r="H36" s="198">
        <v>21300</v>
      </c>
      <c r="I36" s="192" t="s">
        <v>2084</v>
      </c>
      <c r="J36" s="191" t="s">
        <v>2029</v>
      </c>
      <c r="K36" s="213"/>
    </row>
    <row r="37" spans="1:12" s="411" customFormat="1" ht="76.5" customHeight="1">
      <c r="A37" s="206">
        <v>34</v>
      </c>
      <c r="B37" s="247" t="s">
        <v>2026</v>
      </c>
      <c r="C37" s="400">
        <v>45237</v>
      </c>
      <c r="D37" s="247" t="s">
        <v>1974</v>
      </c>
      <c r="E37" s="434" t="s">
        <v>1975</v>
      </c>
      <c r="F37" s="402" t="s">
        <v>2023</v>
      </c>
      <c r="G37" s="435" t="s">
        <v>1983</v>
      </c>
      <c r="H37" s="436">
        <v>22300</v>
      </c>
      <c r="I37" s="192" t="s">
        <v>2085</v>
      </c>
      <c r="J37" s="191" t="s">
        <v>2029</v>
      </c>
      <c r="K37" s="213"/>
    </row>
    <row r="38" spans="1:12" s="411" customFormat="1" ht="76.5" customHeight="1">
      <c r="A38" s="206">
        <v>35</v>
      </c>
      <c r="B38" s="247" t="s">
        <v>1982</v>
      </c>
      <c r="C38" s="400">
        <v>45219</v>
      </c>
      <c r="D38" s="247" t="s">
        <v>1974</v>
      </c>
      <c r="E38" s="434" t="s">
        <v>1850</v>
      </c>
      <c r="F38" s="402" t="s">
        <v>1990</v>
      </c>
      <c r="G38" s="435" t="s">
        <v>1984</v>
      </c>
      <c r="H38" s="436">
        <v>16500</v>
      </c>
      <c r="I38" s="192" t="s">
        <v>2097</v>
      </c>
      <c r="J38" s="191" t="s">
        <v>2029</v>
      </c>
      <c r="K38" s="213"/>
    </row>
    <row r="39" spans="1:12" s="328" customFormat="1" ht="76.5" customHeight="1">
      <c r="A39" s="206">
        <v>36</v>
      </c>
      <c r="B39" s="214" t="s">
        <v>1640</v>
      </c>
      <c r="C39" s="195">
        <v>44538</v>
      </c>
      <c r="D39" s="214" t="s">
        <v>1641</v>
      </c>
      <c r="E39" s="184" t="s">
        <v>1850</v>
      </c>
      <c r="F39" s="196" t="s">
        <v>1864</v>
      </c>
      <c r="G39" s="326" t="s">
        <v>1559</v>
      </c>
      <c r="H39" s="198">
        <v>11215</v>
      </c>
      <c r="I39" s="192" t="s">
        <v>2073</v>
      </c>
      <c r="J39" s="191" t="s">
        <v>2029</v>
      </c>
      <c r="K39" s="213"/>
    </row>
    <row r="40" spans="1:12" ht="76.5" customHeight="1">
      <c r="A40" s="206">
        <v>37</v>
      </c>
      <c r="B40" s="183" t="s">
        <v>1037</v>
      </c>
      <c r="C40" s="195">
        <v>43664</v>
      </c>
      <c r="D40" s="191" t="s">
        <v>906</v>
      </c>
      <c r="E40" s="184" t="s">
        <v>518</v>
      </c>
      <c r="F40" s="196" t="s">
        <v>878</v>
      </c>
      <c r="G40" s="197" t="s">
        <v>544</v>
      </c>
      <c r="H40" s="198">
        <v>24100</v>
      </c>
      <c r="I40" s="192" t="s">
        <v>2280</v>
      </c>
      <c r="J40" s="191" t="s">
        <v>2029</v>
      </c>
      <c r="K40" s="213"/>
    </row>
    <row r="41" spans="1:12" s="411" customFormat="1" ht="76.5" customHeight="1">
      <c r="A41" s="206">
        <v>38</v>
      </c>
      <c r="B41" s="247" t="s">
        <v>2099</v>
      </c>
      <c r="C41" s="400">
        <v>45366</v>
      </c>
      <c r="D41" s="247" t="s">
        <v>2086</v>
      </c>
      <c r="E41" s="434" t="s">
        <v>1975</v>
      </c>
      <c r="F41" s="402" t="s">
        <v>2088</v>
      </c>
      <c r="G41" s="435" t="s">
        <v>1983</v>
      </c>
      <c r="H41" s="436">
        <v>22300</v>
      </c>
      <c r="I41" s="192" t="s">
        <v>2279</v>
      </c>
      <c r="J41" s="191" t="s">
        <v>2029</v>
      </c>
      <c r="K41" s="191"/>
    </row>
    <row r="42" spans="1:12" s="411" customFormat="1" ht="76.5" customHeight="1">
      <c r="A42" s="206">
        <v>39</v>
      </c>
      <c r="B42" s="247" t="s">
        <v>2099</v>
      </c>
      <c r="C42" s="400">
        <v>45366</v>
      </c>
      <c r="D42" s="247" t="s">
        <v>2086</v>
      </c>
      <c r="E42" s="434" t="s">
        <v>1975</v>
      </c>
      <c r="F42" s="402" t="s">
        <v>2090</v>
      </c>
      <c r="G42" s="435" t="s">
        <v>1983</v>
      </c>
      <c r="H42" s="436">
        <v>22300</v>
      </c>
      <c r="I42" s="192" t="s">
        <v>2283</v>
      </c>
      <c r="J42" s="191" t="s">
        <v>2029</v>
      </c>
      <c r="K42" s="191"/>
    </row>
    <row r="43" spans="1:12" ht="76.5" customHeight="1">
      <c r="A43" s="206">
        <v>40</v>
      </c>
      <c r="B43" s="211" t="s">
        <v>542</v>
      </c>
      <c r="C43" s="195">
        <v>43465</v>
      </c>
      <c r="D43" s="191" t="s">
        <v>543</v>
      </c>
      <c r="E43" s="184" t="s">
        <v>518</v>
      </c>
      <c r="F43" s="196" t="s">
        <v>526</v>
      </c>
      <c r="G43" s="197" t="s">
        <v>544</v>
      </c>
      <c r="H43" s="198">
        <v>24100</v>
      </c>
      <c r="I43" s="192" t="s">
        <v>2287</v>
      </c>
      <c r="J43" s="191" t="s">
        <v>2029</v>
      </c>
      <c r="K43" s="213"/>
    </row>
    <row r="44" spans="1:12" s="411" customFormat="1" ht="76.5" customHeight="1">
      <c r="A44" s="206">
        <v>41</v>
      </c>
      <c r="B44" s="247" t="s">
        <v>2181</v>
      </c>
      <c r="C44" s="400">
        <v>45420</v>
      </c>
      <c r="D44" s="247" t="s">
        <v>2125</v>
      </c>
      <c r="E44" s="434" t="s">
        <v>1975</v>
      </c>
      <c r="F44" s="402" t="s">
        <v>2123</v>
      </c>
      <c r="G44" s="435" t="s">
        <v>1983</v>
      </c>
      <c r="H44" s="436">
        <v>22300</v>
      </c>
      <c r="I44" s="192" t="s">
        <v>2290</v>
      </c>
      <c r="J44" s="191" t="s">
        <v>2029</v>
      </c>
      <c r="K44" s="191"/>
    </row>
    <row r="45" spans="1:12" ht="76.5" customHeight="1">
      <c r="A45" s="206">
        <v>42</v>
      </c>
      <c r="B45" s="183" t="s">
        <v>1037</v>
      </c>
      <c r="C45" s="195">
        <v>43664</v>
      </c>
      <c r="D45" s="191" t="s">
        <v>906</v>
      </c>
      <c r="E45" s="184" t="s">
        <v>518</v>
      </c>
      <c r="F45" s="196" t="s">
        <v>886</v>
      </c>
      <c r="G45" s="197" t="s">
        <v>544</v>
      </c>
      <c r="H45" s="198">
        <v>24100</v>
      </c>
      <c r="I45" s="192" t="s">
        <v>2248</v>
      </c>
      <c r="J45" s="191" t="s">
        <v>1962</v>
      </c>
      <c r="K45" s="213"/>
    </row>
    <row r="46" spans="1:12" s="99" customFormat="1" ht="76.5" customHeight="1">
      <c r="A46" s="206">
        <v>43</v>
      </c>
      <c r="B46" s="183" t="s">
        <v>1429</v>
      </c>
      <c r="C46" s="195">
        <v>44265</v>
      </c>
      <c r="D46" s="191" t="s">
        <v>1418</v>
      </c>
      <c r="E46" s="184" t="s">
        <v>2098</v>
      </c>
      <c r="F46" s="196" t="s">
        <v>1424</v>
      </c>
      <c r="G46" s="197" t="s">
        <v>1430</v>
      </c>
      <c r="H46" s="198">
        <v>14500</v>
      </c>
      <c r="I46" s="192" t="s">
        <v>1968</v>
      </c>
      <c r="J46" s="191" t="s">
        <v>1962</v>
      </c>
      <c r="K46" s="213"/>
      <c r="L46" s="199"/>
    </row>
    <row r="47" spans="1:12" ht="76.5" customHeight="1">
      <c r="A47" s="206">
        <v>44</v>
      </c>
      <c r="B47" s="211" t="s">
        <v>542</v>
      </c>
      <c r="C47" s="195">
        <v>43465</v>
      </c>
      <c r="D47" s="191" t="s">
        <v>543</v>
      </c>
      <c r="E47" s="184" t="s">
        <v>518</v>
      </c>
      <c r="F47" s="204" t="s">
        <v>528</v>
      </c>
      <c r="G47" s="197" t="s">
        <v>544</v>
      </c>
      <c r="H47" s="198">
        <v>24100</v>
      </c>
      <c r="I47" s="192" t="s">
        <v>1961</v>
      </c>
      <c r="J47" s="191" t="s">
        <v>1962</v>
      </c>
      <c r="K47" s="213"/>
    </row>
    <row r="48" spans="1:12" ht="76.5" customHeight="1">
      <c r="A48" s="206">
        <v>45</v>
      </c>
      <c r="B48" s="183" t="s">
        <v>307</v>
      </c>
      <c r="C48" s="195">
        <v>41277</v>
      </c>
      <c r="D48" s="191" t="s">
        <v>308</v>
      </c>
      <c r="E48" s="184" t="s">
        <v>39</v>
      </c>
      <c r="F48" s="196" t="s">
        <v>103</v>
      </c>
      <c r="G48" s="197" t="s">
        <v>547</v>
      </c>
      <c r="H48" s="198">
        <v>26250</v>
      </c>
      <c r="I48" s="192" t="s">
        <v>1972</v>
      </c>
      <c r="J48" s="191" t="s">
        <v>1962</v>
      </c>
      <c r="K48" s="213"/>
    </row>
    <row r="49" spans="1:76" ht="76.5" customHeight="1">
      <c r="A49" s="206">
        <v>46</v>
      </c>
      <c r="B49" s="211" t="s">
        <v>292</v>
      </c>
      <c r="C49" s="195">
        <v>40791</v>
      </c>
      <c r="D49" s="183" t="s">
        <v>293</v>
      </c>
      <c r="E49" s="184" t="s">
        <v>39</v>
      </c>
      <c r="F49" s="196" t="s">
        <v>47</v>
      </c>
      <c r="G49" s="197" t="s">
        <v>547</v>
      </c>
      <c r="H49" s="198">
        <v>26250</v>
      </c>
      <c r="I49" s="192" t="s">
        <v>2136</v>
      </c>
      <c r="J49" s="191" t="s">
        <v>1962</v>
      </c>
      <c r="K49" s="213"/>
    </row>
    <row r="50" spans="1:76" s="411" customFormat="1" ht="76.5" customHeight="1">
      <c r="A50" s="206">
        <v>47</v>
      </c>
      <c r="B50" s="247" t="s">
        <v>2180</v>
      </c>
      <c r="C50" s="400">
        <v>45391</v>
      </c>
      <c r="D50" s="247" t="s">
        <v>2125</v>
      </c>
      <c r="E50" s="434" t="s">
        <v>1975</v>
      </c>
      <c r="F50" s="402" t="s">
        <v>2117</v>
      </c>
      <c r="G50" s="435" t="s">
        <v>1983</v>
      </c>
      <c r="H50" s="436">
        <v>22300</v>
      </c>
      <c r="I50" s="192" t="s">
        <v>2172</v>
      </c>
      <c r="J50" s="191" t="s">
        <v>1962</v>
      </c>
      <c r="K50" s="191"/>
    </row>
    <row r="51" spans="1:76" ht="76.5" customHeight="1">
      <c r="A51" s="206">
        <v>48</v>
      </c>
      <c r="B51" s="195" t="s">
        <v>751</v>
      </c>
      <c r="C51" s="195">
        <v>41677</v>
      </c>
      <c r="D51" s="191" t="s">
        <v>752</v>
      </c>
      <c r="E51" s="184" t="s">
        <v>2109</v>
      </c>
      <c r="F51" s="196" t="s">
        <v>195</v>
      </c>
      <c r="G51" s="212" t="s">
        <v>194</v>
      </c>
      <c r="H51" s="207">
        <v>15890</v>
      </c>
      <c r="I51" s="192" t="s">
        <v>2173</v>
      </c>
      <c r="J51" s="191" t="s">
        <v>1962</v>
      </c>
      <c r="K51" s="213"/>
    </row>
    <row r="52" spans="1:76" ht="76.5" customHeight="1">
      <c r="A52" s="206">
        <v>49</v>
      </c>
      <c r="B52" s="213" t="s">
        <v>1586</v>
      </c>
      <c r="C52" s="195">
        <v>44480</v>
      </c>
      <c r="D52" s="213" t="s">
        <v>1551</v>
      </c>
      <c r="E52" s="184" t="s">
        <v>1556</v>
      </c>
      <c r="F52" s="196" t="s">
        <v>1557</v>
      </c>
      <c r="G52" s="326" t="s">
        <v>1554</v>
      </c>
      <c r="H52" s="198">
        <v>21500</v>
      </c>
      <c r="I52" s="192" t="s">
        <v>2245</v>
      </c>
      <c r="J52" s="191" t="s">
        <v>1962</v>
      </c>
      <c r="K52" s="213"/>
    </row>
    <row r="53" spans="1:76" s="411" customFormat="1" ht="76.5" customHeight="1">
      <c r="A53" s="206">
        <v>50</v>
      </c>
      <c r="B53" s="247" t="s">
        <v>2100</v>
      </c>
      <c r="C53" s="400">
        <v>45366</v>
      </c>
      <c r="D53" s="247" t="s">
        <v>2086</v>
      </c>
      <c r="E53" s="434" t="s">
        <v>1975</v>
      </c>
      <c r="F53" s="402" t="s">
        <v>2092</v>
      </c>
      <c r="G53" s="435" t="s">
        <v>1983</v>
      </c>
      <c r="H53" s="436">
        <v>22300</v>
      </c>
      <c r="I53" s="192" t="s">
        <v>2270</v>
      </c>
      <c r="J53" s="191" t="s">
        <v>1962</v>
      </c>
      <c r="K53" s="191"/>
    </row>
    <row r="54" spans="1:76" ht="76.5" customHeight="1">
      <c r="A54" s="206">
        <v>51</v>
      </c>
      <c r="B54" s="183" t="s">
        <v>1037</v>
      </c>
      <c r="C54" s="195">
        <v>43664</v>
      </c>
      <c r="D54" s="191" t="s">
        <v>906</v>
      </c>
      <c r="E54" s="184" t="s">
        <v>518</v>
      </c>
      <c r="F54" s="196" t="s">
        <v>880</v>
      </c>
      <c r="G54" s="197" t="s">
        <v>544</v>
      </c>
      <c r="H54" s="198">
        <v>24100</v>
      </c>
      <c r="I54" s="192" t="s">
        <v>1969</v>
      </c>
      <c r="J54" s="191" t="s">
        <v>2191</v>
      </c>
      <c r="K54" s="213"/>
    </row>
    <row r="55" spans="1:76" ht="76.5" customHeight="1">
      <c r="A55" s="206">
        <v>52</v>
      </c>
      <c r="B55" s="183" t="s">
        <v>1208</v>
      </c>
      <c r="C55" s="195">
        <v>43826</v>
      </c>
      <c r="D55" s="191" t="s">
        <v>1206</v>
      </c>
      <c r="E55" s="184" t="s">
        <v>518</v>
      </c>
      <c r="F55" s="196" t="s">
        <v>1211</v>
      </c>
      <c r="G55" s="197" t="s">
        <v>544</v>
      </c>
      <c r="H55" s="198">
        <v>21300</v>
      </c>
      <c r="I55" s="192" t="s">
        <v>1970</v>
      </c>
      <c r="J55" s="191" t="s">
        <v>2191</v>
      </c>
      <c r="K55" s="213"/>
    </row>
    <row r="56" spans="1:76" ht="76.5" customHeight="1">
      <c r="A56" s="206">
        <v>53</v>
      </c>
      <c r="B56" s="247" t="s">
        <v>1900</v>
      </c>
      <c r="C56" s="400">
        <v>45044</v>
      </c>
      <c r="D56" s="247" t="s">
        <v>1879</v>
      </c>
      <c r="E56" s="401" t="s">
        <v>1880</v>
      </c>
      <c r="F56" s="402" t="s">
        <v>1886</v>
      </c>
      <c r="G56" s="403" t="s">
        <v>1882</v>
      </c>
      <c r="H56" s="405">
        <v>22300</v>
      </c>
      <c r="I56" s="192" t="s">
        <v>1971</v>
      </c>
      <c r="J56" s="191" t="s">
        <v>2191</v>
      </c>
      <c r="K56" s="213"/>
    </row>
    <row r="57" spans="1:76" ht="76.5" customHeight="1">
      <c r="A57" s="206">
        <v>54</v>
      </c>
      <c r="B57" s="183" t="s">
        <v>542</v>
      </c>
      <c r="C57" s="195">
        <v>43465</v>
      </c>
      <c r="D57" s="191" t="s">
        <v>543</v>
      </c>
      <c r="E57" s="184" t="s">
        <v>518</v>
      </c>
      <c r="F57" s="204" t="s">
        <v>532</v>
      </c>
      <c r="G57" s="197" t="s">
        <v>544</v>
      </c>
      <c r="H57" s="198">
        <v>24100</v>
      </c>
      <c r="I57" s="192" t="s">
        <v>2244</v>
      </c>
      <c r="J57" s="191" t="s">
        <v>2191</v>
      </c>
      <c r="K57" s="213"/>
    </row>
    <row r="58" spans="1:76" ht="76.5" customHeight="1">
      <c r="A58" s="206">
        <v>55</v>
      </c>
      <c r="B58" s="183" t="s">
        <v>1038</v>
      </c>
      <c r="C58" s="195">
        <v>43668</v>
      </c>
      <c r="D58" s="191" t="s">
        <v>906</v>
      </c>
      <c r="E58" s="184" t="s">
        <v>518</v>
      </c>
      <c r="F58" s="196" t="s">
        <v>1185</v>
      </c>
      <c r="G58" s="197" t="s">
        <v>544</v>
      </c>
      <c r="H58" s="198">
        <v>24100</v>
      </c>
      <c r="I58" s="192" t="s">
        <v>2264</v>
      </c>
      <c r="J58" s="191" t="s">
        <v>2263</v>
      </c>
      <c r="K58" s="213"/>
    </row>
    <row r="59" spans="1:76" s="411" customFormat="1" ht="76.5" customHeight="1">
      <c r="A59" s="206">
        <v>56</v>
      </c>
      <c r="B59" s="247" t="s">
        <v>2026</v>
      </c>
      <c r="C59" s="400">
        <v>45237</v>
      </c>
      <c r="D59" s="247" t="s">
        <v>1974</v>
      </c>
      <c r="E59" s="434" t="s">
        <v>1975</v>
      </c>
      <c r="F59" s="402" t="s">
        <v>2020</v>
      </c>
      <c r="G59" s="435" t="s">
        <v>1983</v>
      </c>
      <c r="H59" s="436">
        <v>22300</v>
      </c>
      <c r="I59" s="192" t="s">
        <v>2027</v>
      </c>
      <c r="J59" s="191" t="s">
        <v>1998</v>
      </c>
      <c r="K59" s="213"/>
    </row>
    <row r="60" spans="1:76" s="330" customFormat="1" ht="76.5" customHeight="1">
      <c r="A60" s="206">
        <v>57</v>
      </c>
      <c r="B60" s="183" t="s">
        <v>1483</v>
      </c>
      <c r="C60" s="195">
        <v>44266</v>
      </c>
      <c r="D60" s="191" t="s">
        <v>1482</v>
      </c>
      <c r="E60" s="184" t="s">
        <v>518</v>
      </c>
      <c r="F60" s="196" t="s">
        <v>1403</v>
      </c>
      <c r="G60" s="197" t="s">
        <v>1409</v>
      </c>
      <c r="H60" s="198">
        <v>21300</v>
      </c>
      <c r="I60" s="192" t="s">
        <v>2017</v>
      </c>
      <c r="J60" s="191" t="s">
        <v>1998</v>
      </c>
      <c r="K60" s="213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199"/>
      <c r="AJ60" s="199"/>
      <c r="AK60" s="199"/>
      <c r="AL60" s="199"/>
      <c r="AM60" s="199"/>
      <c r="AN60" s="199"/>
      <c r="AO60" s="199"/>
      <c r="AP60" s="199"/>
      <c r="AQ60" s="199"/>
      <c r="AR60" s="199"/>
      <c r="AS60" s="199"/>
      <c r="AT60" s="199"/>
      <c r="AU60" s="199"/>
      <c r="AV60" s="199"/>
      <c r="AW60" s="199"/>
      <c r="AX60" s="199"/>
      <c r="AY60" s="199"/>
      <c r="AZ60" s="199"/>
      <c r="BA60" s="199"/>
      <c r="BB60" s="199"/>
      <c r="BC60" s="199"/>
      <c r="BD60" s="199"/>
      <c r="BE60" s="199"/>
      <c r="BF60" s="199"/>
      <c r="BG60" s="199"/>
      <c r="BH60" s="199"/>
      <c r="BI60" s="199"/>
      <c r="BJ60" s="199"/>
      <c r="BK60" s="199"/>
      <c r="BL60" s="199"/>
      <c r="BM60" s="199"/>
      <c r="BN60" s="199"/>
      <c r="BO60" s="199"/>
      <c r="BP60" s="199"/>
      <c r="BQ60" s="199"/>
      <c r="BR60" s="199"/>
      <c r="BS60" s="199"/>
      <c r="BT60" s="199"/>
      <c r="BU60" s="199"/>
      <c r="BV60" s="199"/>
      <c r="BW60" s="199"/>
      <c r="BX60" s="199"/>
    </row>
    <row r="61" spans="1:76" s="411" customFormat="1" ht="76.5" customHeight="1">
      <c r="A61" s="206">
        <v>58</v>
      </c>
      <c r="B61" s="247" t="s">
        <v>1973</v>
      </c>
      <c r="C61" s="400">
        <v>45212</v>
      </c>
      <c r="D61" s="247" t="s">
        <v>1974</v>
      </c>
      <c r="E61" s="434" t="s">
        <v>1975</v>
      </c>
      <c r="F61" s="402" t="s">
        <v>1981</v>
      </c>
      <c r="G61" s="435" t="s">
        <v>1983</v>
      </c>
      <c r="H61" s="436">
        <v>22300</v>
      </c>
      <c r="I61" s="192" t="s">
        <v>2011</v>
      </c>
      <c r="J61" s="191" t="s">
        <v>1998</v>
      </c>
      <c r="K61" s="213"/>
    </row>
    <row r="62" spans="1:76" ht="76.5" customHeight="1">
      <c r="A62" s="206">
        <v>59</v>
      </c>
      <c r="B62" s="183" t="s">
        <v>1399</v>
      </c>
      <c r="C62" s="195">
        <v>44202</v>
      </c>
      <c r="D62" s="191" t="s">
        <v>1400</v>
      </c>
      <c r="E62" s="184" t="s">
        <v>518</v>
      </c>
      <c r="F62" s="196" t="s">
        <v>1315</v>
      </c>
      <c r="G62" s="197" t="s">
        <v>544</v>
      </c>
      <c r="H62" s="198">
        <v>21300</v>
      </c>
      <c r="I62" s="192" t="s">
        <v>2010</v>
      </c>
      <c r="J62" s="191" t="s">
        <v>1998</v>
      </c>
      <c r="K62" s="213"/>
    </row>
    <row r="63" spans="1:76" s="411" customFormat="1" ht="76.5" customHeight="1">
      <c r="A63" s="206">
        <v>60</v>
      </c>
      <c r="B63" s="247" t="s">
        <v>1973</v>
      </c>
      <c r="C63" s="400">
        <v>45212</v>
      </c>
      <c r="D63" s="247" t="s">
        <v>1974</v>
      </c>
      <c r="E63" s="434" t="s">
        <v>1975</v>
      </c>
      <c r="F63" s="402" t="s">
        <v>1979</v>
      </c>
      <c r="G63" s="435" t="s">
        <v>1983</v>
      </c>
      <c r="H63" s="436">
        <v>22300</v>
      </c>
      <c r="I63" s="192" t="s">
        <v>2009</v>
      </c>
      <c r="J63" s="191" t="s">
        <v>1998</v>
      </c>
      <c r="K63" s="213"/>
    </row>
    <row r="64" spans="1:76" ht="76.5" customHeight="1">
      <c r="A64" s="206">
        <v>61</v>
      </c>
      <c r="B64" s="183" t="s">
        <v>1399</v>
      </c>
      <c r="C64" s="195">
        <v>44202</v>
      </c>
      <c r="D64" s="191" t="s">
        <v>1400</v>
      </c>
      <c r="E64" s="184" t="s">
        <v>518</v>
      </c>
      <c r="F64" s="196" t="s">
        <v>1358</v>
      </c>
      <c r="G64" s="197" t="s">
        <v>544</v>
      </c>
      <c r="H64" s="198">
        <v>21300</v>
      </c>
      <c r="I64" s="192" t="s">
        <v>2060</v>
      </c>
      <c r="J64" s="206" t="s">
        <v>1998</v>
      </c>
      <c r="K64" s="213"/>
    </row>
    <row r="65" spans="1:75" ht="76.5" customHeight="1">
      <c r="A65" s="206">
        <v>62</v>
      </c>
      <c r="B65" s="183" t="s">
        <v>1483</v>
      </c>
      <c r="C65" s="195">
        <v>44266</v>
      </c>
      <c r="D65" s="191" t="s">
        <v>1482</v>
      </c>
      <c r="E65" s="184" t="s">
        <v>518</v>
      </c>
      <c r="F65" s="196" t="s">
        <v>1404</v>
      </c>
      <c r="G65" s="197" t="s">
        <v>1409</v>
      </c>
      <c r="H65" s="198">
        <v>21300</v>
      </c>
      <c r="I65" s="192" t="s">
        <v>2061</v>
      </c>
      <c r="J65" s="206" t="s">
        <v>1998</v>
      </c>
      <c r="K65" s="213"/>
    </row>
    <row r="66" spans="1:75" s="411" customFormat="1" ht="76.5" customHeight="1">
      <c r="A66" s="206">
        <v>63</v>
      </c>
      <c r="B66" s="247" t="s">
        <v>1973</v>
      </c>
      <c r="C66" s="400">
        <v>45212</v>
      </c>
      <c r="D66" s="247" t="s">
        <v>1974</v>
      </c>
      <c r="E66" s="434" t="s">
        <v>1975</v>
      </c>
      <c r="F66" s="402" t="s">
        <v>1978</v>
      </c>
      <c r="G66" s="435" t="s">
        <v>1983</v>
      </c>
      <c r="H66" s="436">
        <v>22300</v>
      </c>
      <c r="I66" s="192" t="s">
        <v>1995</v>
      </c>
      <c r="J66" s="191" t="s">
        <v>1998</v>
      </c>
      <c r="K66" s="213"/>
    </row>
    <row r="67" spans="1:75" s="411" customFormat="1" ht="76.5" customHeight="1">
      <c r="A67" s="206">
        <v>64</v>
      </c>
      <c r="B67" s="247" t="s">
        <v>1973</v>
      </c>
      <c r="C67" s="400">
        <v>45212</v>
      </c>
      <c r="D67" s="247" t="s">
        <v>1974</v>
      </c>
      <c r="E67" s="434" t="s">
        <v>1975</v>
      </c>
      <c r="F67" s="402" t="s">
        <v>1980</v>
      </c>
      <c r="G67" s="435" t="s">
        <v>1983</v>
      </c>
      <c r="H67" s="436">
        <v>22300</v>
      </c>
      <c r="I67" s="192" t="s">
        <v>1996</v>
      </c>
      <c r="J67" s="191" t="s">
        <v>1998</v>
      </c>
      <c r="K67" s="213"/>
    </row>
    <row r="68" spans="1:75" s="411" customFormat="1" ht="76.5" customHeight="1">
      <c r="A68" s="206">
        <v>65</v>
      </c>
      <c r="B68" s="247" t="s">
        <v>1973</v>
      </c>
      <c r="C68" s="400">
        <v>45212</v>
      </c>
      <c r="D68" s="247" t="s">
        <v>1974</v>
      </c>
      <c r="E68" s="434" t="s">
        <v>1975</v>
      </c>
      <c r="F68" s="402" t="s">
        <v>1976</v>
      </c>
      <c r="G68" s="435" t="s">
        <v>1983</v>
      </c>
      <c r="H68" s="436">
        <v>22300</v>
      </c>
      <c r="I68" s="192" t="s">
        <v>1997</v>
      </c>
      <c r="J68" s="191" t="s">
        <v>1998</v>
      </c>
      <c r="K68" s="213"/>
    </row>
    <row r="69" spans="1:75" ht="76.5" customHeight="1">
      <c r="A69" s="206">
        <v>66</v>
      </c>
      <c r="B69" s="183" t="s">
        <v>1038</v>
      </c>
      <c r="C69" s="195">
        <v>43668</v>
      </c>
      <c r="D69" s="191" t="s">
        <v>906</v>
      </c>
      <c r="E69" s="184" t="s">
        <v>518</v>
      </c>
      <c r="F69" s="196" t="s">
        <v>1028</v>
      </c>
      <c r="G69" s="197" t="s">
        <v>544</v>
      </c>
      <c r="H69" s="198">
        <v>24100</v>
      </c>
      <c r="I69" s="192" t="s">
        <v>2203</v>
      </c>
      <c r="J69" s="191" t="s">
        <v>2202</v>
      </c>
      <c r="K69" s="213"/>
    </row>
    <row r="70" spans="1:75" ht="76.5" customHeight="1">
      <c r="A70" s="206">
        <v>67</v>
      </c>
      <c r="B70" s="211" t="s">
        <v>542</v>
      </c>
      <c r="C70" s="195">
        <v>43465</v>
      </c>
      <c r="D70" s="191" t="s">
        <v>543</v>
      </c>
      <c r="E70" s="184" t="s">
        <v>518</v>
      </c>
      <c r="F70" s="204" t="s">
        <v>536</v>
      </c>
      <c r="G70" s="197" t="s">
        <v>544</v>
      </c>
      <c r="H70" s="198">
        <v>24100</v>
      </c>
      <c r="I70" s="192" t="s">
        <v>1965</v>
      </c>
      <c r="J70" s="191" t="s">
        <v>1950</v>
      </c>
      <c r="K70" s="213"/>
    </row>
    <row r="71" spans="1:75" ht="76.5" customHeight="1">
      <c r="A71" s="206">
        <v>68</v>
      </c>
      <c r="B71" s="183" t="s">
        <v>1429</v>
      </c>
      <c r="C71" s="195">
        <v>44265</v>
      </c>
      <c r="D71" s="191" t="s">
        <v>1418</v>
      </c>
      <c r="E71" s="184" t="s">
        <v>518</v>
      </c>
      <c r="F71" s="196" t="s">
        <v>1428</v>
      </c>
      <c r="G71" s="197" t="s">
        <v>1430</v>
      </c>
      <c r="H71" s="198">
        <v>14500</v>
      </c>
      <c r="I71" s="192" t="s">
        <v>1966</v>
      </c>
      <c r="J71" s="191" t="s">
        <v>1950</v>
      </c>
      <c r="K71" s="213"/>
      <c r="M71" s="21"/>
      <c r="N71" s="1"/>
      <c r="O71" s="1"/>
      <c r="P71" s="1"/>
    </row>
    <row r="72" spans="1:75" ht="76.5" customHeight="1">
      <c r="A72" s="206">
        <v>69</v>
      </c>
      <c r="B72" s="183" t="s">
        <v>1399</v>
      </c>
      <c r="C72" s="195">
        <v>44202</v>
      </c>
      <c r="D72" s="191" t="s">
        <v>1400</v>
      </c>
      <c r="E72" s="184" t="s">
        <v>518</v>
      </c>
      <c r="F72" s="196" t="s">
        <v>1357</v>
      </c>
      <c r="G72" s="197" t="s">
        <v>544</v>
      </c>
      <c r="H72" s="198">
        <v>21300</v>
      </c>
      <c r="I72" s="192" t="s">
        <v>1967</v>
      </c>
      <c r="J72" s="191" t="s">
        <v>1950</v>
      </c>
      <c r="K72" s="115"/>
      <c r="N72" s="1"/>
      <c r="O72" s="1"/>
      <c r="P72" s="1"/>
    </row>
    <row r="73" spans="1:75" ht="76.5" customHeight="1">
      <c r="A73" s="206">
        <v>70</v>
      </c>
      <c r="B73" s="183" t="s">
        <v>1231</v>
      </c>
      <c r="C73" s="195">
        <v>43837</v>
      </c>
      <c r="D73" s="191" t="s">
        <v>1232</v>
      </c>
      <c r="E73" s="184" t="s">
        <v>518</v>
      </c>
      <c r="F73" s="196" t="s">
        <v>1226</v>
      </c>
      <c r="G73" s="197" t="s">
        <v>544</v>
      </c>
      <c r="H73" s="198">
        <v>21300</v>
      </c>
      <c r="I73" s="192" t="s">
        <v>2030</v>
      </c>
      <c r="J73" s="191" t="s">
        <v>1950</v>
      </c>
      <c r="K73" s="213"/>
      <c r="N73" s="1"/>
      <c r="O73" s="1"/>
      <c r="P73" s="1"/>
    </row>
    <row r="74" spans="1:75" ht="76.5" customHeight="1">
      <c r="A74" s="206">
        <v>71</v>
      </c>
      <c r="B74" s="183" t="s">
        <v>1037</v>
      </c>
      <c r="C74" s="195">
        <v>43664</v>
      </c>
      <c r="D74" s="183" t="s">
        <v>906</v>
      </c>
      <c r="E74" s="184" t="s">
        <v>518</v>
      </c>
      <c r="F74" s="196" t="s">
        <v>885</v>
      </c>
      <c r="G74" s="197" t="s">
        <v>544</v>
      </c>
      <c r="H74" s="198">
        <v>24100</v>
      </c>
      <c r="I74" s="192" t="s">
        <v>1964</v>
      </c>
      <c r="J74" s="191" t="s">
        <v>1950</v>
      </c>
      <c r="K74" s="213"/>
    </row>
    <row r="75" spans="1:75" ht="76.5" customHeight="1">
      <c r="A75" s="206">
        <v>72</v>
      </c>
      <c r="B75" s="183" t="s">
        <v>1399</v>
      </c>
      <c r="C75" s="195">
        <v>44202</v>
      </c>
      <c r="D75" s="191" t="s">
        <v>1400</v>
      </c>
      <c r="E75" s="184" t="s">
        <v>518</v>
      </c>
      <c r="F75" s="196" t="s">
        <v>1364</v>
      </c>
      <c r="G75" s="197" t="s">
        <v>544</v>
      </c>
      <c r="H75" s="198">
        <v>21300</v>
      </c>
      <c r="I75" s="192" t="s">
        <v>1958</v>
      </c>
      <c r="J75" s="191" t="s">
        <v>1950</v>
      </c>
      <c r="K75" s="213"/>
    </row>
    <row r="76" spans="1:75" s="329" customFormat="1" ht="76.5" customHeight="1">
      <c r="A76" s="206">
        <v>73</v>
      </c>
      <c r="B76" s="214" t="s">
        <v>1647</v>
      </c>
      <c r="C76" s="195">
        <v>44564</v>
      </c>
      <c r="D76" s="214" t="s">
        <v>1648</v>
      </c>
      <c r="E76" s="184" t="s">
        <v>1552</v>
      </c>
      <c r="F76" s="196" t="s">
        <v>1654</v>
      </c>
      <c r="G76" s="326" t="s">
        <v>1554</v>
      </c>
      <c r="H76" s="198">
        <v>21500</v>
      </c>
      <c r="I76" s="192" t="s">
        <v>1959</v>
      </c>
      <c r="J76" s="191" t="s">
        <v>1950</v>
      </c>
      <c r="K76" s="385"/>
      <c r="L76" s="328"/>
      <c r="M76" s="328"/>
      <c r="N76" s="199"/>
      <c r="O76" s="328"/>
      <c r="P76" s="328"/>
      <c r="Q76" s="328"/>
      <c r="R76" s="328"/>
      <c r="S76" s="328"/>
      <c r="T76" s="328"/>
      <c r="U76" s="328"/>
      <c r="V76" s="328"/>
      <c r="W76" s="328"/>
      <c r="X76" s="328"/>
      <c r="Y76" s="328"/>
      <c r="Z76" s="328"/>
      <c r="AA76" s="328"/>
      <c r="AB76" s="328"/>
      <c r="AC76" s="328"/>
      <c r="AD76" s="328"/>
      <c r="AE76" s="328"/>
      <c r="AF76" s="328"/>
      <c r="AG76" s="328"/>
      <c r="AH76" s="328"/>
      <c r="AI76" s="328"/>
      <c r="AJ76" s="328"/>
      <c r="AK76" s="328"/>
      <c r="AL76" s="328"/>
      <c r="AM76" s="328"/>
      <c r="AN76" s="328"/>
      <c r="AO76" s="328"/>
      <c r="AP76" s="328"/>
      <c r="AQ76" s="328"/>
      <c r="AR76" s="328"/>
      <c r="AS76" s="328"/>
      <c r="AT76" s="328"/>
      <c r="AU76" s="328"/>
      <c r="AV76" s="328"/>
      <c r="AW76" s="328"/>
      <c r="AX76" s="328"/>
      <c r="AY76" s="328"/>
      <c r="AZ76" s="328"/>
      <c r="BA76" s="328"/>
      <c r="BB76" s="328"/>
      <c r="BC76" s="328"/>
      <c r="BD76" s="328"/>
      <c r="BE76" s="328"/>
      <c r="BF76" s="328"/>
      <c r="BG76" s="328"/>
      <c r="BH76" s="328"/>
      <c r="BI76" s="328"/>
      <c r="BJ76" s="328"/>
      <c r="BK76" s="328"/>
      <c r="BL76" s="328"/>
      <c r="BM76" s="328"/>
      <c r="BN76" s="328"/>
      <c r="BO76" s="328"/>
      <c r="BP76" s="328"/>
      <c r="BQ76" s="328"/>
      <c r="BR76" s="328"/>
      <c r="BS76" s="328"/>
      <c r="BT76" s="328"/>
      <c r="BU76" s="328"/>
      <c r="BV76" s="328"/>
      <c r="BW76" s="328"/>
    </row>
    <row r="77" spans="1:75" ht="76.5" customHeight="1">
      <c r="A77" s="206">
        <v>74</v>
      </c>
      <c r="B77" s="183" t="s">
        <v>1429</v>
      </c>
      <c r="C77" s="195">
        <v>44265</v>
      </c>
      <c r="D77" s="191" t="s">
        <v>1418</v>
      </c>
      <c r="E77" s="184" t="s">
        <v>518</v>
      </c>
      <c r="F77" s="482" t="s">
        <v>1422</v>
      </c>
      <c r="G77" s="197" t="s">
        <v>1430</v>
      </c>
      <c r="H77" s="215">
        <v>14500</v>
      </c>
      <c r="I77" s="192" t="s">
        <v>1960</v>
      </c>
      <c r="J77" s="191" t="s">
        <v>1950</v>
      </c>
      <c r="K77" s="213"/>
    </row>
    <row r="78" spans="1:75" ht="76.5" customHeight="1">
      <c r="A78" s="206">
        <v>75</v>
      </c>
      <c r="B78" s="247" t="s">
        <v>1900</v>
      </c>
      <c r="C78" s="400">
        <v>45044</v>
      </c>
      <c r="D78" s="247" t="s">
        <v>1879</v>
      </c>
      <c r="E78" s="401" t="s">
        <v>1880</v>
      </c>
      <c r="F78" s="402" t="s">
        <v>1887</v>
      </c>
      <c r="G78" s="403" t="s">
        <v>1882</v>
      </c>
      <c r="H78" s="405">
        <v>22300</v>
      </c>
      <c r="I78" s="192" t="s">
        <v>1957</v>
      </c>
      <c r="J78" s="191" t="s">
        <v>1950</v>
      </c>
      <c r="K78" s="213"/>
    </row>
    <row r="79" spans="1:75" ht="76.5" customHeight="1">
      <c r="A79" s="206">
        <v>76</v>
      </c>
      <c r="B79" s="183" t="s">
        <v>1395</v>
      </c>
      <c r="C79" s="195">
        <v>44180</v>
      </c>
      <c r="D79" s="191" t="s">
        <v>1394</v>
      </c>
      <c r="E79" s="184" t="s">
        <v>518</v>
      </c>
      <c r="F79" s="482" t="s">
        <v>1342</v>
      </c>
      <c r="G79" s="197" t="s">
        <v>544</v>
      </c>
      <c r="H79" s="198">
        <v>21300</v>
      </c>
      <c r="I79" s="192" t="s">
        <v>1955</v>
      </c>
      <c r="J79" s="191" t="s">
        <v>1950</v>
      </c>
      <c r="K79" s="213"/>
    </row>
    <row r="80" spans="1:75" ht="76.5" customHeight="1">
      <c r="A80" s="206">
        <v>77</v>
      </c>
      <c r="B80" s="183" t="s">
        <v>1038</v>
      </c>
      <c r="C80" s="195">
        <v>43668</v>
      </c>
      <c r="D80" s="183" t="s">
        <v>906</v>
      </c>
      <c r="E80" s="184" t="s">
        <v>518</v>
      </c>
      <c r="F80" s="196" t="s">
        <v>1494</v>
      </c>
      <c r="G80" s="197" t="s">
        <v>544</v>
      </c>
      <c r="H80" s="198">
        <v>24100</v>
      </c>
      <c r="I80" s="192" t="s">
        <v>1956</v>
      </c>
      <c r="J80" s="191" t="s">
        <v>1950</v>
      </c>
      <c r="K80" s="213"/>
    </row>
    <row r="81" spans="1:75" ht="76.5" customHeight="1">
      <c r="A81" s="206">
        <v>78</v>
      </c>
      <c r="B81" s="183" t="s">
        <v>907</v>
      </c>
      <c r="C81" s="195">
        <v>43656</v>
      </c>
      <c r="D81" s="191" t="s">
        <v>906</v>
      </c>
      <c r="E81" s="184" t="s">
        <v>518</v>
      </c>
      <c r="F81" s="196" t="s">
        <v>822</v>
      </c>
      <c r="G81" s="197" t="s">
        <v>544</v>
      </c>
      <c r="H81" s="198">
        <v>24100</v>
      </c>
      <c r="I81" s="192" t="s">
        <v>2031</v>
      </c>
      <c r="J81" s="191" t="s">
        <v>1950</v>
      </c>
      <c r="K81" s="213"/>
    </row>
    <row r="82" spans="1:75" ht="76.5" customHeight="1">
      <c r="A82" s="206">
        <v>79</v>
      </c>
      <c r="B82" s="183" t="s">
        <v>1399</v>
      </c>
      <c r="C82" s="195">
        <v>44202</v>
      </c>
      <c r="D82" s="191" t="s">
        <v>1400</v>
      </c>
      <c r="E82" s="184" t="s">
        <v>518</v>
      </c>
      <c r="F82" s="196" t="s">
        <v>1368</v>
      </c>
      <c r="G82" s="197" t="s">
        <v>544</v>
      </c>
      <c r="H82" s="198">
        <v>21300</v>
      </c>
      <c r="I82" s="192" t="s">
        <v>2032</v>
      </c>
      <c r="J82" s="191" t="s">
        <v>1950</v>
      </c>
      <c r="K82" s="115"/>
    </row>
    <row r="83" spans="1:75" ht="76.5" customHeight="1">
      <c r="A83" s="206">
        <v>80</v>
      </c>
      <c r="B83" s="200" t="s">
        <v>1177</v>
      </c>
      <c r="C83" s="201">
        <v>43735</v>
      </c>
      <c r="D83" s="183" t="s">
        <v>1176</v>
      </c>
      <c r="E83" s="184" t="s">
        <v>518</v>
      </c>
      <c r="F83" s="196" t="s">
        <v>1128</v>
      </c>
      <c r="G83" s="197" t="s">
        <v>544</v>
      </c>
      <c r="H83" s="198">
        <v>21300</v>
      </c>
      <c r="I83" s="192" t="s">
        <v>2033</v>
      </c>
      <c r="J83" s="191" t="s">
        <v>1950</v>
      </c>
      <c r="K83" s="213"/>
      <c r="N83" s="1"/>
      <c r="O83" s="1"/>
      <c r="P83" s="1"/>
    </row>
    <row r="84" spans="1:75" s="411" customFormat="1" ht="76.5" customHeight="1">
      <c r="A84" s="206">
        <v>81</v>
      </c>
      <c r="B84" s="247" t="s">
        <v>2100</v>
      </c>
      <c r="C84" s="400">
        <v>45366</v>
      </c>
      <c r="D84" s="247" t="s">
        <v>2086</v>
      </c>
      <c r="E84" s="434" t="s">
        <v>1975</v>
      </c>
      <c r="F84" s="402" t="s">
        <v>2096</v>
      </c>
      <c r="G84" s="435" t="s">
        <v>1983</v>
      </c>
      <c r="H84" s="436">
        <v>22300</v>
      </c>
      <c r="I84" s="192" t="s">
        <v>2070</v>
      </c>
      <c r="J84" s="191" t="s">
        <v>1950</v>
      </c>
      <c r="K84" s="191"/>
    </row>
    <row r="85" spans="1:75" ht="76.5" customHeight="1">
      <c r="A85" s="206">
        <v>82</v>
      </c>
      <c r="B85" s="183" t="s">
        <v>907</v>
      </c>
      <c r="C85" s="195">
        <v>43656</v>
      </c>
      <c r="D85" s="183" t="s">
        <v>906</v>
      </c>
      <c r="E85" s="184" t="s">
        <v>518</v>
      </c>
      <c r="F85" s="196" t="s">
        <v>818</v>
      </c>
      <c r="G85" s="197" t="s">
        <v>544</v>
      </c>
      <c r="H85" s="198">
        <v>24100</v>
      </c>
      <c r="I85" s="192" t="s">
        <v>2034</v>
      </c>
      <c r="J85" s="191" t="s">
        <v>1950</v>
      </c>
      <c r="K85" s="213"/>
    </row>
    <row r="86" spans="1:75" ht="76.5" customHeight="1">
      <c r="A86" s="206">
        <v>83</v>
      </c>
      <c r="B86" s="183" t="s">
        <v>1197</v>
      </c>
      <c r="C86" s="195">
        <v>43794</v>
      </c>
      <c r="D86" s="191" t="s">
        <v>1187</v>
      </c>
      <c r="E86" s="184" t="s">
        <v>518</v>
      </c>
      <c r="F86" s="196" t="s">
        <v>1184</v>
      </c>
      <c r="G86" s="197" t="s">
        <v>544</v>
      </c>
      <c r="H86" s="198">
        <v>21300</v>
      </c>
      <c r="I86" s="192" t="s">
        <v>2035</v>
      </c>
      <c r="J86" s="191" t="s">
        <v>1950</v>
      </c>
      <c r="K86" s="213"/>
    </row>
    <row r="87" spans="1:75" ht="76.5" customHeight="1">
      <c r="A87" s="206">
        <v>84</v>
      </c>
      <c r="B87" s="183" t="s">
        <v>1039</v>
      </c>
      <c r="C87" s="195">
        <v>43661</v>
      </c>
      <c r="D87" s="183" t="s">
        <v>906</v>
      </c>
      <c r="E87" s="184" t="s">
        <v>518</v>
      </c>
      <c r="F87" s="196" t="s">
        <v>862</v>
      </c>
      <c r="G87" s="197" t="s">
        <v>544</v>
      </c>
      <c r="H87" s="198">
        <v>24100</v>
      </c>
      <c r="I87" s="192" t="s">
        <v>2036</v>
      </c>
      <c r="J87" s="191" t="s">
        <v>1950</v>
      </c>
      <c r="K87" s="213"/>
    </row>
    <row r="88" spans="1:75" ht="76.5" customHeight="1">
      <c r="A88" s="206">
        <v>85</v>
      </c>
      <c r="B88" s="183" t="s">
        <v>1039</v>
      </c>
      <c r="C88" s="195">
        <v>43661</v>
      </c>
      <c r="D88" s="191" t="s">
        <v>906</v>
      </c>
      <c r="E88" s="184" t="s">
        <v>518</v>
      </c>
      <c r="F88" s="196" t="s">
        <v>860</v>
      </c>
      <c r="G88" s="197" t="s">
        <v>544</v>
      </c>
      <c r="H88" s="198">
        <v>24100</v>
      </c>
      <c r="I88" s="192" t="s">
        <v>2037</v>
      </c>
      <c r="J88" s="191" t="s">
        <v>1950</v>
      </c>
      <c r="K88" s="213"/>
    </row>
    <row r="89" spans="1:75" ht="76.5" customHeight="1">
      <c r="A89" s="206">
        <v>86</v>
      </c>
      <c r="B89" s="183" t="s">
        <v>1038</v>
      </c>
      <c r="C89" s="195">
        <v>43668</v>
      </c>
      <c r="D89" s="191" t="s">
        <v>906</v>
      </c>
      <c r="E89" s="184" t="s">
        <v>518</v>
      </c>
      <c r="F89" s="196" t="s">
        <v>1026</v>
      </c>
      <c r="G89" s="197" t="s">
        <v>544</v>
      </c>
      <c r="H89" s="198">
        <v>24100</v>
      </c>
      <c r="I89" s="192" t="s">
        <v>2038</v>
      </c>
      <c r="J89" s="191" t="s">
        <v>1950</v>
      </c>
      <c r="K89" s="115"/>
    </row>
    <row r="90" spans="1:75" ht="76.5" customHeight="1">
      <c r="A90" s="206">
        <v>87</v>
      </c>
      <c r="B90" s="247" t="s">
        <v>1900</v>
      </c>
      <c r="C90" s="400">
        <v>45044</v>
      </c>
      <c r="D90" s="247" t="s">
        <v>1879</v>
      </c>
      <c r="E90" s="401" t="s">
        <v>1880</v>
      </c>
      <c r="F90" s="402" t="s">
        <v>1884</v>
      </c>
      <c r="G90" s="403" t="s">
        <v>1882</v>
      </c>
      <c r="H90" s="405">
        <v>22300</v>
      </c>
      <c r="I90" s="192" t="s">
        <v>2039</v>
      </c>
      <c r="J90" s="191" t="s">
        <v>1950</v>
      </c>
      <c r="K90" s="213"/>
    </row>
    <row r="91" spans="1:75" ht="76.5" customHeight="1">
      <c r="A91" s="206">
        <v>88</v>
      </c>
      <c r="B91" s="183" t="s">
        <v>1429</v>
      </c>
      <c r="C91" s="195">
        <v>44265</v>
      </c>
      <c r="D91" s="191" t="s">
        <v>1418</v>
      </c>
      <c r="E91" s="184" t="s">
        <v>518</v>
      </c>
      <c r="F91" s="196" t="s">
        <v>1420</v>
      </c>
      <c r="G91" s="197" t="s">
        <v>1430</v>
      </c>
      <c r="H91" s="198">
        <v>21500</v>
      </c>
      <c r="I91" s="192" t="s">
        <v>2040</v>
      </c>
      <c r="J91" s="191" t="s">
        <v>1950</v>
      </c>
      <c r="K91" s="213"/>
    </row>
    <row r="92" spans="1:75" ht="76.5" customHeight="1">
      <c r="A92" s="206">
        <v>89</v>
      </c>
      <c r="B92" s="183" t="s">
        <v>1197</v>
      </c>
      <c r="C92" s="195">
        <v>43794</v>
      </c>
      <c r="D92" s="191" t="s">
        <v>1187</v>
      </c>
      <c r="E92" s="184" t="s">
        <v>518</v>
      </c>
      <c r="F92" s="196" t="s">
        <v>1183</v>
      </c>
      <c r="G92" s="197" t="s">
        <v>544</v>
      </c>
      <c r="H92" s="198">
        <v>21300</v>
      </c>
      <c r="I92" s="192" t="s">
        <v>1309</v>
      </c>
      <c r="J92" s="191" t="s">
        <v>1308</v>
      </c>
      <c r="K92" s="213"/>
    </row>
    <row r="93" spans="1:75" s="330" customFormat="1" ht="76.5" customHeight="1">
      <c r="A93" s="206">
        <v>90</v>
      </c>
      <c r="B93" s="183" t="s">
        <v>1483</v>
      </c>
      <c r="C93" s="195">
        <v>44266</v>
      </c>
      <c r="D93" s="191" t="s">
        <v>1482</v>
      </c>
      <c r="E93" s="184" t="s">
        <v>518</v>
      </c>
      <c r="F93" s="196" t="s">
        <v>1415</v>
      </c>
      <c r="G93" s="197" t="s">
        <v>1409</v>
      </c>
      <c r="H93" s="198">
        <v>21300</v>
      </c>
      <c r="I93" s="192" t="s">
        <v>1310</v>
      </c>
      <c r="J93" s="191" t="s">
        <v>1308</v>
      </c>
      <c r="K93" s="213"/>
      <c r="L93" s="199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9"/>
      <c r="AA93" s="199"/>
      <c r="AB93" s="199"/>
      <c r="AC93" s="199"/>
      <c r="AD93" s="199"/>
      <c r="AE93" s="199"/>
      <c r="AF93" s="199"/>
      <c r="AG93" s="199"/>
      <c r="AH93" s="199"/>
      <c r="AI93" s="199"/>
      <c r="AJ93" s="199"/>
      <c r="AK93" s="199"/>
      <c r="AL93" s="199"/>
      <c r="AM93" s="199"/>
      <c r="AN93" s="199"/>
      <c r="AO93" s="199"/>
      <c r="AP93" s="199"/>
      <c r="AQ93" s="199"/>
      <c r="AR93" s="199"/>
      <c r="AS93" s="199"/>
      <c r="AT93" s="199"/>
      <c r="AU93" s="199"/>
      <c r="AV93" s="199"/>
      <c r="AW93" s="199"/>
      <c r="AX93" s="199"/>
      <c r="AY93" s="199"/>
      <c r="AZ93" s="199"/>
      <c r="BA93" s="199"/>
      <c r="BB93" s="199"/>
      <c r="BC93" s="199"/>
      <c r="BD93" s="199"/>
      <c r="BE93" s="199"/>
      <c r="BF93" s="199"/>
      <c r="BG93" s="199"/>
      <c r="BH93" s="199"/>
      <c r="BI93" s="199"/>
      <c r="BJ93" s="199"/>
      <c r="BK93" s="199"/>
      <c r="BL93" s="199"/>
      <c r="BM93" s="199"/>
      <c r="BN93" s="199"/>
      <c r="BO93" s="199"/>
      <c r="BP93" s="199"/>
      <c r="BQ93" s="199"/>
      <c r="BR93" s="199"/>
      <c r="BS93" s="199"/>
      <c r="BT93" s="199"/>
      <c r="BU93" s="199"/>
      <c r="BV93" s="199"/>
      <c r="BW93" s="199"/>
    </row>
    <row r="94" spans="1:75" s="411" customFormat="1" ht="76.5" customHeight="1">
      <c r="A94" s="206">
        <v>91</v>
      </c>
      <c r="B94" s="247" t="s">
        <v>2111</v>
      </c>
      <c r="C94" s="400">
        <v>45373</v>
      </c>
      <c r="D94" s="247" t="s">
        <v>2086</v>
      </c>
      <c r="E94" s="434" t="s">
        <v>1975</v>
      </c>
      <c r="F94" s="402" t="s">
        <v>2105</v>
      </c>
      <c r="G94" s="435" t="s">
        <v>1983</v>
      </c>
      <c r="H94" s="436">
        <v>22300</v>
      </c>
      <c r="I94" s="192" t="s">
        <v>1311</v>
      </c>
      <c r="J94" s="191" t="s">
        <v>1308</v>
      </c>
      <c r="K94" s="191"/>
    </row>
    <row r="95" spans="1:75" ht="76.5" customHeight="1">
      <c r="A95" s="206">
        <v>92</v>
      </c>
      <c r="B95" s="183" t="s">
        <v>1197</v>
      </c>
      <c r="C95" s="195">
        <v>43794</v>
      </c>
      <c r="D95" s="191" t="s">
        <v>1187</v>
      </c>
      <c r="E95" s="184" t="s">
        <v>518</v>
      </c>
      <c r="F95" s="196" t="s">
        <v>1180</v>
      </c>
      <c r="G95" s="197" t="s">
        <v>544</v>
      </c>
      <c r="H95" s="198">
        <v>21300</v>
      </c>
      <c r="I95" s="192" t="s">
        <v>1312</v>
      </c>
      <c r="J95" s="191" t="s">
        <v>1308</v>
      </c>
      <c r="K95" s="213"/>
    </row>
    <row r="96" spans="1:75" ht="76.5" customHeight="1">
      <c r="A96" s="206">
        <v>93</v>
      </c>
      <c r="B96" s="183" t="s">
        <v>1038</v>
      </c>
      <c r="C96" s="195">
        <v>43668</v>
      </c>
      <c r="D96" s="191" t="s">
        <v>906</v>
      </c>
      <c r="E96" s="184" t="s">
        <v>518</v>
      </c>
      <c r="F96" s="196" t="s">
        <v>1029</v>
      </c>
      <c r="G96" s="197" t="s">
        <v>544</v>
      </c>
      <c r="H96" s="198">
        <v>24100</v>
      </c>
      <c r="I96" s="192" t="s">
        <v>1874</v>
      </c>
      <c r="J96" s="191" t="s">
        <v>1873</v>
      </c>
      <c r="K96" s="213"/>
    </row>
    <row r="97" spans="1:12" ht="76.5" customHeight="1">
      <c r="A97" s="206">
        <v>94</v>
      </c>
      <c r="B97" s="183" t="s">
        <v>1438</v>
      </c>
      <c r="C97" s="195">
        <v>44280</v>
      </c>
      <c r="D97" s="191" t="s">
        <v>1439</v>
      </c>
      <c r="E97" s="184" t="s">
        <v>518</v>
      </c>
      <c r="F97" s="196" t="s">
        <v>1435</v>
      </c>
      <c r="G97" s="197" t="s">
        <v>1430</v>
      </c>
      <c r="H97" s="215">
        <v>14500</v>
      </c>
      <c r="I97" s="192" t="s">
        <v>1872</v>
      </c>
      <c r="J97" s="191" t="s">
        <v>1873</v>
      </c>
      <c r="K97" s="213"/>
    </row>
    <row r="98" spans="1:12" ht="76.5" customHeight="1">
      <c r="A98" s="206">
        <v>95</v>
      </c>
      <c r="B98" s="211" t="s">
        <v>542</v>
      </c>
      <c r="C98" s="195">
        <v>43465</v>
      </c>
      <c r="D98" s="191" t="s">
        <v>543</v>
      </c>
      <c r="E98" s="184" t="s">
        <v>518</v>
      </c>
      <c r="F98" s="204" t="s">
        <v>534</v>
      </c>
      <c r="G98" s="197" t="s">
        <v>544</v>
      </c>
      <c r="H98" s="198">
        <v>24100</v>
      </c>
      <c r="I98" s="192" t="s">
        <v>2210</v>
      </c>
      <c r="J98" s="191" t="s">
        <v>1873</v>
      </c>
      <c r="K98" s="213"/>
    </row>
    <row r="99" spans="1:12" ht="76.5" customHeight="1">
      <c r="A99" s="206">
        <v>96</v>
      </c>
      <c r="B99" s="183" t="s">
        <v>1395</v>
      </c>
      <c r="C99" s="195">
        <v>44180</v>
      </c>
      <c r="D99" s="191" t="s">
        <v>1394</v>
      </c>
      <c r="E99" s="184" t="s">
        <v>518</v>
      </c>
      <c r="F99" s="196" t="s">
        <v>1302</v>
      </c>
      <c r="G99" s="197" t="s">
        <v>544</v>
      </c>
      <c r="H99" s="198">
        <v>21300</v>
      </c>
      <c r="I99" s="192" t="s">
        <v>2211</v>
      </c>
      <c r="J99" s="191" t="s">
        <v>1873</v>
      </c>
      <c r="K99" s="213"/>
    </row>
    <row r="100" spans="1:12" s="411" customFormat="1" ht="76.5" customHeight="1">
      <c r="A100" s="206">
        <v>97</v>
      </c>
      <c r="B100" s="247" t="s">
        <v>2026</v>
      </c>
      <c r="C100" s="400">
        <v>45237</v>
      </c>
      <c r="D100" s="247" t="s">
        <v>1974</v>
      </c>
      <c r="E100" s="434" t="s">
        <v>1975</v>
      </c>
      <c r="F100" s="402" t="s">
        <v>2024</v>
      </c>
      <c r="G100" s="435" t="s">
        <v>1983</v>
      </c>
      <c r="H100" s="436">
        <v>22300</v>
      </c>
      <c r="I100" s="192" t="s">
        <v>2175</v>
      </c>
      <c r="J100" s="191" t="s">
        <v>1873</v>
      </c>
      <c r="K100" s="213"/>
    </row>
    <row r="101" spans="1:12" ht="76.5" customHeight="1">
      <c r="A101" s="206">
        <v>98</v>
      </c>
      <c r="B101" s="183" t="s">
        <v>1481</v>
      </c>
      <c r="C101" s="195">
        <v>44316</v>
      </c>
      <c r="D101" s="191" t="s">
        <v>1480</v>
      </c>
      <c r="E101" s="184" t="s">
        <v>518</v>
      </c>
      <c r="F101" s="196" t="s">
        <v>1446</v>
      </c>
      <c r="G101" s="197" t="s">
        <v>1430</v>
      </c>
      <c r="H101" s="215">
        <v>14500</v>
      </c>
      <c r="I101" s="192" t="s">
        <v>2176</v>
      </c>
      <c r="J101" s="191" t="s">
        <v>1873</v>
      </c>
      <c r="K101" s="213"/>
      <c r="L101" s="324"/>
    </row>
    <row r="102" spans="1:12" ht="76.5" customHeight="1">
      <c r="A102" s="206">
        <v>99</v>
      </c>
      <c r="B102" s="183" t="s">
        <v>1208</v>
      </c>
      <c r="C102" s="195">
        <v>43826</v>
      </c>
      <c r="D102" s="191" t="s">
        <v>1206</v>
      </c>
      <c r="E102" s="184" t="s">
        <v>518</v>
      </c>
      <c r="F102" s="196" t="s">
        <v>1220</v>
      </c>
      <c r="G102" s="197" t="s">
        <v>544</v>
      </c>
      <c r="H102" s="198">
        <v>21300</v>
      </c>
      <c r="I102" s="192" t="s">
        <v>1888</v>
      </c>
      <c r="J102" s="191" t="s">
        <v>1876</v>
      </c>
      <c r="K102" s="213"/>
    </row>
    <row r="103" spans="1:12" s="411" customFormat="1" ht="76.5" customHeight="1">
      <c r="A103" s="206">
        <v>100</v>
      </c>
      <c r="B103" s="247" t="s">
        <v>2178</v>
      </c>
      <c r="C103" s="400">
        <v>45386</v>
      </c>
      <c r="D103" s="247" t="s">
        <v>2086</v>
      </c>
      <c r="E103" s="434" t="s">
        <v>1975</v>
      </c>
      <c r="F103" s="402" t="s">
        <v>2112</v>
      </c>
      <c r="G103" s="435" t="s">
        <v>1983</v>
      </c>
      <c r="H103" s="436">
        <v>22300</v>
      </c>
      <c r="I103" s="192" t="s">
        <v>1889</v>
      </c>
      <c r="J103" s="191" t="s">
        <v>1876</v>
      </c>
      <c r="K103" s="213"/>
    </row>
    <row r="104" spans="1:12" ht="76.5" customHeight="1">
      <c r="A104" s="206">
        <v>101</v>
      </c>
      <c r="B104" s="183" t="s">
        <v>1037</v>
      </c>
      <c r="C104" s="195">
        <v>43664</v>
      </c>
      <c r="D104" s="191" t="s">
        <v>906</v>
      </c>
      <c r="E104" s="184" t="s">
        <v>518</v>
      </c>
      <c r="F104" s="196" t="s">
        <v>887</v>
      </c>
      <c r="G104" s="197" t="s">
        <v>544</v>
      </c>
      <c r="H104" s="198">
        <v>24100</v>
      </c>
      <c r="I104" s="192" t="s">
        <v>1891</v>
      </c>
      <c r="J104" s="191" t="s">
        <v>1876</v>
      </c>
      <c r="K104" s="213"/>
    </row>
    <row r="105" spans="1:12" ht="76.5" customHeight="1">
      <c r="A105" s="206">
        <v>102</v>
      </c>
      <c r="B105" s="183" t="s">
        <v>1438</v>
      </c>
      <c r="C105" s="195">
        <v>44280</v>
      </c>
      <c r="D105" s="191" t="s">
        <v>1439</v>
      </c>
      <c r="E105" s="184" t="s">
        <v>518</v>
      </c>
      <c r="F105" s="196" t="s">
        <v>1436</v>
      </c>
      <c r="G105" s="197" t="s">
        <v>1430</v>
      </c>
      <c r="H105" s="215">
        <v>14500</v>
      </c>
      <c r="I105" s="192" t="s">
        <v>1890</v>
      </c>
      <c r="J105" s="191" t="s">
        <v>1876</v>
      </c>
      <c r="K105" s="213"/>
      <c r="L105" s="324"/>
    </row>
    <row r="106" spans="1:12" ht="76.5" customHeight="1">
      <c r="A106" s="206">
        <v>103</v>
      </c>
      <c r="B106" s="183" t="s">
        <v>1483</v>
      </c>
      <c r="C106" s="195">
        <v>44266</v>
      </c>
      <c r="D106" s="191" t="s">
        <v>1482</v>
      </c>
      <c r="E106" s="184" t="s">
        <v>518</v>
      </c>
      <c r="F106" s="196" t="s">
        <v>1405</v>
      </c>
      <c r="G106" s="197" t="s">
        <v>1409</v>
      </c>
      <c r="H106" s="198">
        <v>21300</v>
      </c>
      <c r="I106" s="192" t="s">
        <v>1942</v>
      </c>
      <c r="J106" s="191" t="s">
        <v>1876</v>
      </c>
      <c r="K106" s="213"/>
    </row>
    <row r="107" spans="1:12" ht="76.5" customHeight="1">
      <c r="A107" s="206">
        <v>104</v>
      </c>
      <c r="B107" s="183" t="s">
        <v>1158</v>
      </c>
      <c r="C107" s="195">
        <v>43760</v>
      </c>
      <c r="D107" s="191" t="s">
        <v>1159</v>
      </c>
      <c r="E107" s="184" t="s">
        <v>518</v>
      </c>
      <c r="F107" s="196" t="s">
        <v>1146</v>
      </c>
      <c r="G107" s="197" t="s">
        <v>544</v>
      </c>
      <c r="H107" s="198">
        <v>21300</v>
      </c>
      <c r="I107" s="192" t="s">
        <v>2016</v>
      </c>
      <c r="J107" s="191" t="s">
        <v>1876</v>
      </c>
      <c r="K107" s="213"/>
    </row>
    <row r="108" spans="1:12" ht="76.5" customHeight="1">
      <c r="A108" s="206">
        <v>105</v>
      </c>
      <c r="B108" s="183" t="s">
        <v>1395</v>
      </c>
      <c r="C108" s="195">
        <v>44180</v>
      </c>
      <c r="D108" s="191" t="s">
        <v>1394</v>
      </c>
      <c r="E108" s="184" t="s">
        <v>518</v>
      </c>
      <c r="F108" s="196" t="s">
        <v>1339</v>
      </c>
      <c r="G108" s="197" t="s">
        <v>544</v>
      </c>
      <c r="H108" s="198">
        <v>21300</v>
      </c>
      <c r="I108" s="192" t="s">
        <v>1354</v>
      </c>
      <c r="J108" s="191" t="s">
        <v>1396</v>
      </c>
      <c r="K108" s="213"/>
    </row>
    <row r="109" spans="1:12" ht="76.5" customHeight="1">
      <c r="A109" s="206">
        <v>106</v>
      </c>
      <c r="B109" s="183" t="s">
        <v>1199</v>
      </c>
      <c r="C109" s="195">
        <v>43805</v>
      </c>
      <c r="D109" s="191" t="s">
        <v>1195</v>
      </c>
      <c r="E109" s="184" t="s">
        <v>518</v>
      </c>
      <c r="F109" s="196" t="s">
        <v>1194</v>
      </c>
      <c r="G109" s="197" t="s">
        <v>544</v>
      </c>
      <c r="H109" s="198">
        <v>21300</v>
      </c>
      <c r="I109" s="192" t="s">
        <v>2285</v>
      </c>
      <c r="J109" s="191" t="s">
        <v>2284</v>
      </c>
      <c r="K109" s="213"/>
    </row>
    <row r="110" spans="1:12" s="411" customFormat="1" ht="76.5" customHeight="1">
      <c r="A110" s="206">
        <v>107</v>
      </c>
      <c r="B110" s="247" t="s">
        <v>1229</v>
      </c>
      <c r="C110" s="400">
        <v>43830</v>
      </c>
      <c r="D110" s="247" t="s">
        <v>1230</v>
      </c>
      <c r="E110" s="434" t="s">
        <v>518</v>
      </c>
      <c r="F110" s="402" t="s">
        <v>1213</v>
      </c>
      <c r="G110" s="435" t="s">
        <v>544</v>
      </c>
      <c r="H110" s="436">
        <v>21300</v>
      </c>
      <c r="I110" s="192" t="s">
        <v>2286</v>
      </c>
      <c r="J110" s="191" t="s">
        <v>2284</v>
      </c>
      <c r="K110" s="191"/>
    </row>
    <row r="111" spans="1:12" s="466" customFormat="1" ht="76.5" customHeight="1">
      <c r="A111" s="206">
        <v>108</v>
      </c>
      <c r="B111" s="247" t="s">
        <v>1901</v>
      </c>
      <c r="C111" s="400">
        <v>45044</v>
      </c>
      <c r="D111" s="247" t="s">
        <v>1879</v>
      </c>
      <c r="E111" s="434" t="s">
        <v>1850</v>
      </c>
      <c r="F111" s="402" t="s">
        <v>1899</v>
      </c>
      <c r="G111" s="435" t="s">
        <v>1852</v>
      </c>
      <c r="H111" s="436">
        <v>16500</v>
      </c>
      <c r="I111" s="192" t="s">
        <v>2054</v>
      </c>
      <c r="J111" s="191" t="s">
        <v>1669</v>
      </c>
      <c r="K111" s="465"/>
    </row>
    <row r="112" spans="1:12" ht="76.5" customHeight="1">
      <c r="A112" s="206">
        <v>109</v>
      </c>
      <c r="B112" s="206" t="s">
        <v>1586</v>
      </c>
      <c r="C112" s="195">
        <v>44480</v>
      </c>
      <c r="D112" s="206" t="s">
        <v>1551</v>
      </c>
      <c r="E112" s="184" t="s">
        <v>1552</v>
      </c>
      <c r="F112" s="196" t="s">
        <v>1575</v>
      </c>
      <c r="G112" s="326" t="s">
        <v>1554</v>
      </c>
      <c r="H112" s="198">
        <v>21500</v>
      </c>
      <c r="I112" s="192" t="s">
        <v>2053</v>
      </c>
      <c r="J112" s="191" t="s">
        <v>1669</v>
      </c>
      <c r="K112" s="213"/>
    </row>
    <row r="113" spans="1:17" s="466" customFormat="1" ht="76.5" customHeight="1">
      <c r="A113" s="206">
        <v>110</v>
      </c>
      <c r="B113" s="247" t="s">
        <v>1901</v>
      </c>
      <c r="C113" s="400">
        <v>45044</v>
      </c>
      <c r="D113" s="247" t="s">
        <v>1879</v>
      </c>
      <c r="E113" s="434" t="s">
        <v>1850</v>
      </c>
      <c r="F113" s="402" t="s">
        <v>1896</v>
      </c>
      <c r="G113" s="435" t="s">
        <v>1852</v>
      </c>
      <c r="H113" s="436">
        <v>16500</v>
      </c>
      <c r="I113" s="192" t="s">
        <v>2055</v>
      </c>
      <c r="J113" s="191" t="s">
        <v>1669</v>
      </c>
      <c r="K113" s="465"/>
    </row>
    <row r="114" spans="1:17" s="466" customFormat="1" ht="76.5" customHeight="1">
      <c r="A114" s="206">
        <v>111</v>
      </c>
      <c r="B114" s="399" t="s">
        <v>1848</v>
      </c>
      <c r="C114" s="390">
        <v>44926</v>
      </c>
      <c r="D114" s="399" t="s">
        <v>1849</v>
      </c>
      <c r="E114" s="391" t="s">
        <v>1850</v>
      </c>
      <c r="F114" s="392" t="s">
        <v>1851</v>
      </c>
      <c r="G114" s="393" t="s">
        <v>1852</v>
      </c>
      <c r="H114" s="394">
        <v>16500</v>
      </c>
      <c r="I114" s="192" t="s">
        <v>2056</v>
      </c>
      <c r="J114" s="191" t="s">
        <v>1669</v>
      </c>
      <c r="K114" s="465"/>
    </row>
    <row r="115" spans="1:17" ht="76.5" customHeight="1">
      <c r="A115" s="206">
        <v>112</v>
      </c>
      <c r="B115" s="214" t="s">
        <v>1736</v>
      </c>
      <c r="C115" s="195">
        <v>44785</v>
      </c>
      <c r="D115" s="214" t="s">
        <v>1700</v>
      </c>
      <c r="E115" s="184" t="s">
        <v>1552</v>
      </c>
      <c r="F115" s="196" t="s">
        <v>1704</v>
      </c>
      <c r="G115" s="326" t="s">
        <v>1554</v>
      </c>
      <c r="H115" s="198">
        <v>22300</v>
      </c>
      <c r="I115" s="192" t="s">
        <v>1670</v>
      </c>
      <c r="J115" s="191" t="s">
        <v>1669</v>
      </c>
      <c r="K115" s="213"/>
    </row>
    <row r="116" spans="1:17" ht="76.5" customHeight="1">
      <c r="A116" s="206">
        <v>113</v>
      </c>
      <c r="B116" s="214" t="s">
        <v>1865</v>
      </c>
      <c r="C116" s="398">
        <v>44972</v>
      </c>
      <c r="D116" s="214" t="s">
        <v>1849</v>
      </c>
      <c r="E116" s="396" t="s">
        <v>257</v>
      </c>
      <c r="F116" s="196" t="s">
        <v>1643</v>
      </c>
      <c r="G116" s="397" t="s">
        <v>1852</v>
      </c>
      <c r="H116" s="395">
        <v>16500</v>
      </c>
      <c r="I116" s="192" t="s">
        <v>1672</v>
      </c>
      <c r="J116" s="191" t="s">
        <v>1669</v>
      </c>
      <c r="K116" s="213"/>
    </row>
    <row r="117" spans="1:17" ht="76.5" customHeight="1">
      <c r="A117" s="206">
        <v>114</v>
      </c>
      <c r="B117" s="206" t="s">
        <v>1625</v>
      </c>
      <c r="C117" s="327">
        <v>44501</v>
      </c>
      <c r="D117" s="206" t="s">
        <v>1626</v>
      </c>
      <c r="E117" s="184" t="s">
        <v>257</v>
      </c>
      <c r="F117" s="196" t="s">
        <v>1628</v>
      </c>
      <c r="G117" s="326" t="s">
        <v>1559</v>
      </c>
      <c r="H117" s="198">
        <v>11215</v>
      </c>
      <c r="I117" s="192" t="s">
        <v>1673</v>
      </c>
      <c r="J117" s="191" t="s">
        <v>1669</v>
      </c>
      <c r="K117" s="213"/>
    </row>
    <row r="118" spans="1:17" ht="76.5" customHeight="1">
      <c r="A118" s="206">
        <v>115</v>
      </c>
      <c r="B118" s="206" t="s">
        <v>1625</v>
      </c>
      <c r="C118" s="327">
        <v>44501</v>
      </c>
      <c r="D118" s="206" t="s">
        <v>1626</v>
      </c>
      <c r="E118" s="184" t="s">
        <v>257</v>
      </c>
      <c r="F118" s="196" t="s">
        <v>1629</v>
      </c>
      <c r="G118" s="326" t="s">
        <v>1559</v>
      </c>
      <c r="H118" s="198">
        <v>11215</v>
      </c>
      <c r="I118" s="192" t="s">
        <v>1681</v>
      </c>
      <c r="J118" s="191" t="s">
        <v>1669</v>
      </c>
      <c r="K118" s="213"/>
    </row>
    <row r="119" spans="1:17" ht="76.5" customHeight="1">
      <c r="A119" s="206">
        <v>116</v>
      </c>
      <c r="B119" s="206" t="s">
        <v>1625</v>
      </c>
      <c r="C119" s="327">
        <v>44501</v>
      </c>
      <c r="D119" s="206" t="s">
        <v>1626</v>
      </c>
      <c r="E119" s="184" t="s">
        <v>257</v>
      </c>
      <c r="F119" s="196" t="s">
        <v>1627</v>
      </c>
      <c r="G119" s="326" t="s">
        <v>1559</v>
      </c>
      <c r="H119" s="198">
        <v>11215</v>
      </c>
      <c r="I119" s="192" t="s">
        <v>1680</v>
      </c>
      <c r="J119" s="191" t="s">
        <v>1669</v>
      </c>
      <c r="K119" s="213"/>
    </row>
    <row r="120" spans="1:17" s="411" customFormat="1" ht="76.5" customHeight="1">
      <c r="A120" s="206">
        <v>117</v>
      </c>
      <c r="B120" s="247" t="s">
        <v>1982</v>
      </c>
      <c r="C120" s="400">
        <v>45219</v>
      </c>
      <c r="D120" s="247" t="s">
        <v>1974</v>
      </c>
      <c r="E120" s="434" t="s">
        <v>1850</v>
      </c>
      <c r="F120" s="402" t="s">
        <v>1994</v>
      </c>
      <c r="G120" s="435" t="s">
        <v>1984</v>
      </c>
      <c r="H120" s="436">
        <v>16500</v>
      </c>
      <c r="I120" s="192" t="s">
        <v>2277</v>
      </c>
      <c r="J120" s="191" t="s">
        <v>1669</v>
      </c>
      <c r="K120" s="213"/>
    </row>
    <row r="121" spans="1:17" s="466" customFormat="1" ht="76.5" customHeight="1">
      <c r="A121" s="206">
        <v>118</v>
      </c>
      <c r="B121" s="214" t="s">
        <v>1854</v>
      </c>
      <c r="C121" s="398">
        <v>44953</v>
      </c>
      <c r="D121" s="214" t="s">
        <v>1849</v>
      </c>
      <c r="E121" s="396" t="s">
        <v>1850</v>
      </c>
      <c r="F121" s="196" t="s">
        <v>1859</v>
      </c>
      <c r="G121" s="397" t="s">
        <v>1852</v>
      </c>
      <c r="H121" s="395">
        <v>16500</v>
      </c>
      <c r="I121" s="192" t="s">
        <v>2057</v>
      </c>
      <c r="J121" s="191" t="s">
        <v>1669</v>
      </c>
      <c r="K121" s="465"/>
    </row>
    <row r="122" spans="1:17" ht="76.5" customHeight="1">
      <c r="A122" s="206">
        <v>119</v>
      </c>
      <c r="B122" s="206" t="s">
        <v>1586</v>
      </c>
      <c r="C122" s="195">
        <v>44480</v>
      </c>
      <c r="D122" s="206" t="s">
        <v>1551</v>
      </c>
      <c r="E122" s="184" t="s">
        <v>257</v>
      </c>
      <c r="F122" s="196" t="s">
        <v>1569</v>
      </c>
      <c r="G122" s="326" t="s">
        <v>1559</v>
      </c>
      <c r="H122" s="198">
        <v>11215</v>
      </c>
      <c r="I122" s="192" t="s">
        <v>2062</v>
      </c>
      <c r="J122" s="191" t="s">
        <v>1669</v>
      </c>
      <c r="K122" s="213"/>
    </row>
    <row r="123" spans="1:17" ht="76.5" customHeight="1">
      <c r="A123" s="206">
        <v>120</v>
      </c>
      <c r="B123" s="214" t="s">
        <v>1865</v>
      </c>
      <c r="C123" s="398">
        <v>44972</v>
      </c>
      <c r="D123" s="214" t="s">
        <v>1849</v>
      </c>
      <c r="E123" s="396" t="s">
        <v>1850</v>
      </c>
      <c r="F123" s="196" t="s">
        <v>1863</v>
      </c>
      <c r="G123" s="397" t="s">
        <v>1852</v>
      </c>
      <c r="H123" s="395">
        <v>16500</v>
      </c>
      <c r="I123" s="192" t="s">
        <v>2063</v>
      </c>
      <c r="J123" s="191" t="s">
        <v>1669</v>
      </c>
      <c r="K123" s="213"/>
      <c r="N123" s="21"/>
      <c r="O123" s="1"/>
      <c r="P123" s="1"/>
      <c r="Q123" s="1"/>
    </row>
    <row r="124" spans="1:17" s="411" customFormat="1" ht="76.5" customHeight="1">
      <c r="A124" s="206">
        <v>121</v>
      </c>
      <c r="B124" s="247" t="s">
        <v>1865</v>
      </c>
      <c r="C124" s="400">
        <v>44972</v>
      </c>
      <c r="D124" s="247" t="s">
        <v>1849</v>
      </c>
      <c r="E124" s="434" t="s">
        <v>1850</v>
      </c>
      <c r="F124" s="402" t="s">
        <v>1862</v>
      </c>
      <c r="G124" s="435" t="s">
        <v>1852</v>
      </c>
      <c r="H124" s="436">
        <v>16500</v>
      </c>
      <c r="I124" s="192" t="s">
        <v>2064</v>
      </c>
      <c r="J124" s="191" t="s">
        <v>1669</v>
      </c>
      <c r="K124" s="460"/>
    </row>
    <row r="125" spans="1:17" ht="76.5" customHeight="1">
      <c r="A125" s="206">
        <v>122</v>
      </c>
      <c r="B125" s="214" t="s">
        <v>1854</v>
      </c>
      <c r="C125" s="398">
        <v>44953</v>
      </c>
      <c r="D125" s="214" t="s">
        <v>1849</v>
      </c>
      <c r="E125" s="396" t="s">
        <v>1850</v>
      </c>
      <c r="F125" s="196" t="s">
        <v>1857</v>
      </c>
      <c r="G125" s="397" t="s">
        <v>1852</v>
      </c>
      <c r="H125" s="395">
        <v>16500</v>
      </c>
      <c r="I125" s="192" t="s">
        <v>2065</v>
      </c>
      <c r="J125" s="191" t="s">
        <v>1669</v>
      </c>
      <c r="K125" s="213"/>
      <c r="N125" s="21"/>
      <c r="O125" s="1"/>
      <c r="P125" s="1"/>
      <c r="Q125" s="1"/>
    </row>
    <row r="126" spans="1:17" ht="76.5" customHeight="1">
      <c r="A126" s="206">
        <v>123</v>
      </c>
      <c r="B126" s="247" t="s">
        <v>1901</v>
      </c>
      <c r="C126" s="400">
        <v>45044</v>
      </c>
      <c r="D126" s="247" t="s">
        <v>1879</v>
      </c>
      <c r="E126" s="434" t="s">
        <v>1850</v>
      </c>
      <c r="F126" s="402" t="s">
        <v>1898</v>
      </c>
      <c r="G126" s="435" t="s">
        <v>1852</v>
      </c>
      <c r="H126" s="436">
        <v>16500</v>
      </c>
      <c r="I126" s="192" t="s">
        <v>2066</v>
      </c>
      <c r="J126" s="191" t="s">
        <v>1669</v>
      </c>
      <c r="K126" s="213"/>
      <c r="O126" s="1"/>
      <c r="P126" s="1"/>
      <c r="Q126" s="1"/>
    </row>
    <row r="127" spans="1:17" ht="76.5" customHeight="1">
      <c r="A127" s="206">
        <v>124</v>
      </c>
      <c r="B127" s="206" t="s">
        <v>1586</v>
      </c>
      <c r="C127" s="195">
        <v>44480</v>
      </c>
      <c r="D127" s="206" t="s">
        <v>1551</v>
      </c>
      <c r="E127" s="184" t="s">
        <v>257</v>
      </c>
      <c r="F127" s="196" t="s">
        <v>1568</v>
      </c>
      <c r="G127" s="326" t="s">
        <v>1559</v>
      </c>
      <c r="H127" s="198">
        <v>11215</v>
      </c>
      <c r="I127" s="192" t="s">
        <v>2067</v>
      </c>
      <c r="J127" s="191" t="s">
        <v>1669</v>
      </c>
      <c r="K127" s="213"/>
    </row>
    <row r="128" spans="1:17" ht="76.5" customHeight="1">
      <c r="A128" s="206">
        <v>125</v>
      </c>
      <c r="B128" s="206" t="s">
        <v>1982</v>
      </c>
      <c r="C128" s="195">
        <v>45219</v>
      </c>
      <c r="D128" s="206" t="s">
        <v>1974</v>
      </c>
      <c r="E128" s="184" t="s">
        <v>1850</v>
      </c>
      <c r="F128" s="196" t="s">
        <v>1986</v>
      </c>
      <c r="G128" s="326" t="s">
        <v>1984</v>
      </c>
      <c r="H128" s="198">
        <v>16500</v>
      </c>
      <c r="I128" s="192" t="s">
        <v>2068</v>
      </c>
      <c r="J128" s="191" t="s">
        <v>1669</v>
      </c>
      <c r="K128" s="213"/>
    </row>
    <row r="129" spans="1:13" ht="76.5" customHeight="1">
      <c r="A129" s="206">
        <v>126</v>
      </c>
      <c r="B129" s="183" t="s">
        <v>1395</v>
      </c>
      <c r="C129" s="195">
        <v>44180</v>
      </c>
      <c r="D129" s="191" t="s">
        <v>1394</v>
      </c>
      <c r="E129" s="184" t="s">
        <v>518</v>
      </c>
      <c r="F129" s="196" t="s">
        <v>1341</v>
      </c>
      <c r="G129" s="197" t="s">
        <v>544</v>
      </c>
      <c r="H129" s="198">
        <v>21300</v>
      </c>
      <c r="I129" s="192" t="s">
        <v>2110</v>
      </c>
      <c r="J129" s="191" t="s">
        <v>1663</v>
      </c>
      <c r="K129" s="213"/>
    </row>
    <row r="130" spans="1:13" ht="76.5" customHeight="1">
      <c r="A130" s="206">
        <v>127</v>
      </c>
      <c r="B130" s="206" t="s">
        <v>1586</v>
      </c>
      <c r="C130" s="195">
        <v>44480</v>
      </c>
      <c r="D130" s="206" t="s">
        <v>1551</v>
      </c>
      <c r="E130" s="184" t="s">
        <v>1552</v>
      </c>
      <c r="F130" s="482" t="s">
        <v>1580</v>
      </c>
      <c r="G130" s="326" t="s">
        <v>1554</v>
      </c>
      <c r="H130" s="198">
        <v>21500</v>
      </c>
      <c r="I130" s="192" t="s">
        <v>2220</v>
      </c>
      <c r="J130" s="191" t="s">
        <v>1663</v>
      </c>
      <c r="K130" s="213"/>
    </row>
    <row r="131" spans="1:13" ht="76.5" customHeight="1">
      <c r="A131" s="206">
        <v>128</v>
      </c>
      <c r="B131" s="183" t="s">
        <v>542</v>
      </c>
      <c r="C131" s="195">
        <v>43465</v>
      </c>
      <c r="D131" s="191" t="s">
        <v>543</v>
      </c>
      <c r="E131" s="184" t="s">
        <v>518</v>
      </c>
      <c r="F131" s="204" t="s">
        <v>521</v>
      </c>
      <c r="G131" s="197" t="s">
        <v>544</v>
      </c>
      <c r="H131" s="198">
        <v>24100</v>
      </c>
      <c r="I131" s="192" t="s">
        <v>2184</v>
      </c>
      <c r="J131" s="191" t="s">
        <v>1663</v>
      </c>
      <c r="K131" s="213"/>
    </row>
    <row r="132" spans="1:13" ht="76.5" customHeight="1">
      <c r="A132" s="206">
        <v>129</v>
      </c>
      <c r="B132" s="183" t="s">
        <v>907</v>
      </c>
      <c r="C132" s="195">
        <v>43656</v>
      </c>
      <c r="D132" s="191" t="s">
        <v>906</v>
      </c>
      <c r="E132" s="184" t="s">
        <v>518</v>
      </c>
      <c r="F132" s="196" t="s">
        <v>821</v>
      </c>
      <c r="G132" s="197" t="s">
        <v>544</v>
      </c>
      <c r="H132" s="198">
        <v>24100</v>
      </c>
      <c r="I132" s="192" t="s">
        <v>1915</v>
      </c>
      <c r="J132" s="191" t="s">
        <v>1632</v>
      </c>
      <c r="K132" s="213"/>
    </row>
    <row r="133" spans="1:13" s="328" customFormat="1" ht="76.5" customHeight="1">
      <c r="A133" s="206">
        <v>130</v>
      </c>
      <c r="B133" s="214" t="s">
        <v>1822</v>
      </c>
      <c r="C133" s="195">
        <v>44861</v>
      </c>
      <c r="D133" s="214" t="s">
        <v>1823</v>
      </c>
      <c r="E133" s="184" t="s">
        <v>1552</v>
      </c>
      <c r="F133" s="196" t="s">
        <v>1905</v>
      </c>
      <c r="G133" s="326" t="s">
        <v>1554</v>
      </c>
      <c r="H133" s="198">
        <v>22300</v>
      </c>
      <c r="I133" s="192" t="s">
        <v>2289</v>
      </c>
      <c r="J133" s="191" t="s">
        <v>1632</v>
      </c>
      <c r="K133" s="213"/>
      <c r="L133" s="199"/>
      <c r="M133" s="199"/>
    </row>
    <row r="134" spans="1:13" s="328" customFormat="1" ht="76.5" customHeight="1">
      <c r="A134" s="206">
        <v>131</v>
      </c>
      <c r="B134" s="247" t="s">
        <v>2201</v>
      </c>
      <c r="C134" s="400">
        <v>45625</v>
      </c>
      <c r="D134" s="247" t="s">
        <v>2200</v>
      </c>
      <c r="E134" s="434" t="s">
        <v>1975</v>
      </c>
      <c r="F134" s="402" t="s">
        <v>2194</v>
      </c>
      <c r="G134" s="435" t="s">
        <v>1983</v>
      </c>
      <c r="H134" s="436">
        <v>22300</v>
      </c>
      <c r="I134" s="192" t="s">
        <v>1464</v>
      </c>
      <c r="J134" s="191" t="s">
        <v>2043</v>
      </c>
      <c r="K134" s="191"/>
      <c r="L134" s="199"/>
      <c r="M134" s="199"/>
    </row>
    <row r="135" spans="1:13" ht="76.5" customHeight="1">
      <c r="A135" s="206">
        <v>132</v>
      </c>
      <c r="B135" s="183" t="s">
        <v>1395</v>
      </c>
      <c r="C135" s="195">
        <v>44180</v>
      </c>
      <c r="D135" s="191" t="s">
        <v>1394</v>
      </c>
      <c r="E135" s="184" t="s">
        <v>518</v>
      </c>
      <c r="F135" s="196" t="s">
        <v>1335</v>
      </c>
      <c r="G135" s="197" t="s">
        <v>544</v>
      </c>
      <c r="H135" s="198">
        <v>21300</v>
      </c>
      <c r="I135" s="192" t="s">
        <v>1463</v>
      </c>
      <c r="J135" s="191" t="s">
        <v>2043</v>
      </c>
      <c r="K135" s="213"/>
    </row>
    <row r="136" spans="1:13" s="411" customFormat="1" ht="76.5" customHeight="1">
      <c r="A136" s="206">
        <v>133</v>
      </c>
      <c r="B136" s="247" t="s">
        <v>1037</v>
      </c>
      <c r="C136" s="400">
        <v>43664</v>
      </c>
      <c r="D136" s="247" t="s">
        <v>906</v>
      </c>
      <c r="E136" s="434" t="s">
        <v>518</v>
      </c>
      <c r="F136" s="402" t="s">
        <v>882</v>
      </c>
      <c r="G136" s="435" t="s">
        <v>544</v>
      </c>
      <c r="H136" s="436">
        <v>24100</v>
      </c>
      <c r="I136" s="192" t="s">
        <v>1462</v>
      </c>
      <c r="J136" s="191" t="s">
        <v>2043</v>
      </c>
      <c r="K136" s="191"/>
    </row>
    <row r="137" spans="1:13" s="411" customFormat="1" ht="76.5" customHeight="1">
      <c r="A137" s="206">
        <v>134</v>
      </c>
      <c r="B137" s="247" t="s">
        <v>1037</v>
      </c>
      <c r="C137" s="400">
        <v>43664</v>
      </c>
      <c r="D137" s="247" t="s">
        <v>906</v>
      </c>
      <c r="E137" s="434" t="s">
        <v>518</v>
      </c>
      <c r="F137" s="402" t="s">
        <v>883</v>
      </c>
      <c r="G137" s="435" t="s">
        <v>544</v>
      </c>
      <c r="H137" s="436">
        <v>24100</v>
      </c>
      <c r="I137" s="192" t="s">
        <v>1461</v>
      </c>
      <c r="J137" s="191" t="s">
        <v>2043</v>
      </c>
      <c r="K137" s="191"/>
    </row>
    <row r="138" spans="1:13" ht="76.5" customHeight="1">
      <c r="A138" s="206">
        <v>135</v>
      </c>
      <c r="B138" s="183" t="s">
        <v>1197</v>
      </c>
      <c r="C138" s="195">
        <v>43794</v>
      </c>
      <c r="D138" s="191" t="s">
        <v>1187</v>
      </c>
      <c r="E138" s="184" t="s">
        <v>518</v>
      </c>
      <c r="F138" s="196" t="s">
        <v>1034</v>
      </c>
      <c r="G138" s="197" t="s">
        <v>544</v>
      </c>
      <c r="H138" s="198">
        <v>21300</v>
      </c>
      <c r="I138" s="192" t="s">
        <v>2288</v>
      </c>
      <c r="J138" s="191" t="s">
        <v>2072</v>
      </c>
      <c r="K138" s="213"/>
    </row>
    <row r="139" spans="1:13" ht="76.5" customHeight="1">
      <c r="A139" s="206">
        <v>136</v>
      </c>
      <c r="B139" s="183" t="s">
        <v>1039</v>
      </c>
      <c r="C139" s="195">
        <v>43661</v>
      </c>
      <c r="D139" s="191" t="s">
        <v>906</v>
      </c>
      <c r="E139" s="184" t="s">
        <v>518</v>
      </c>
      <c r="F139" s="196" t="s">
        <v>856</v>
      </c>
      <c r="G139" s="197" t="s">
        <v>544</v>
      </c>
      <c r="H139" s="198">
        <v>24100</v>
      </c>
      <c r="I139" s="192" t="s">
        <v>2291</v>
      </c>
      <c r="J139" s="191" t="s">
        <v>2072</v>
      </c>
      <c r="K139" s="213"/>
    </row>
    <row r="140" spans="1:13" s="328" customFormat="1" ht="76.5" customHeight="1">
      <c r="A140" s="206">
        <v>137</v>
      </c>
      <c r="B140" s="214" t="s">
        <v>1647</v>
      </c>
      <c r="C140" s="195">
        <v>44564</v>
      </c>
      <c r="D140" s="214" t="s">
        <v>1648</v>
      </c>
      <c r="E140" s="184" t="s">
        <v>1552</v>
      </c>
      <c r="F140" s="196" t="s">
        <v>1649</v>
      </c>
      <c r="G140" s="326" t="s">
        <v>1554</v>
      </c>
      <c r="H140" s="198">
        <v>21500</v>
      </c>
      <c r="I140" s="192" t="s">
        <v>1907</v>
      </c>
      <c r="J140" s="191" t="s">
        <v>2072</v>
      </c>
      <c r="K140" s="385"/>
    </row>
    <row r="141" spans="1:13" ht="76.5" customHeight="1">
      <c r="A141" s="206">
        <v>138</v>
      </c>
      <c r="B141" s="183" t="s">
        <v>1208</v>
      </c>
      <c r="C141" s="195">
        <v>43826</v>
      </c>
      <c r="D141" s="191" t="s">
        <v>1206</v>
      </c>
      <c r="E141" s="184" t="s">
        <v>518</v>
      </c>
      <c r="F141" s="196" t="s">
        <v>1215</v>
      </c>
      <c r="G141" s="197" t="s">
        <v>544</v>
      </c>
      <c r="H141" s="198">
        <v>21300</v>
      </c>
      <c r="I141" s="192" t="s">
        <v>1908</v>
      </c>
      <c r="J141" s="191" t="s">
        <v>2072</v>
      </c>
      <c r="K141" s="213"/>
    </row>
    <row r="142" spans="1:13" ht="76.5" customHeight="1">
      <c r="A142" s="206">
        <v>139</v>
      </c>
      <c r="B142" s="183" t="s">
        <v>1399</v>
      </c>
      <c r="C142" s="195">
        <v>44202</v>
      </c>
      <c r="D142" s="191" t="s">
        <v>1400</v>
      </c>
      <c r="E142" s="184" t="s">
        <v>518</v>
      </c>
      <c r="F142" s="196" t="s">
        <v>1356</v>
      </c>
      <c r="G142" s="197" t="s">
        <v>544</v>
      </c>
      <c r="H142" s="198">
        <v>21300</v>
      </c>
      <c r="I142" s="192" t="s">
        <v>2069</v>
      </c>
      <c r="J142" s="191" t="s">
        <v>2072</v>
      </c>
      <c r="K142" s="213"/>
    </row>
    <row r="143" spans="1:13" s="411" customFormat="1" ht="76.5" customHeight="1">
      <c r="A143" s="206">
        <v>140</v>
      </c>
      <c r="B143" s="247" t="s">
        <v>2182</v>
      </c>
      <c r="C143" s="400">
        <v>45432</v>
      </c>
      <c r="D143" s="247" t="s">
        <v>2125</v>
      </c>
      <c r="E143" s="434" t="s">
        <v>1975</v>
      </c>
      <c r="F143" s="402" t="s">
        <v>2127</v>
      </c>
      <c r="G143" s="435" t="s">
        <v>1983</v>
      </c>
      <c r="H143" s="436">
        <v>22300</v>
      </c>
      <c r="I143" s="192" t="s">
        <v>1909</v>
      </c>
      <c r="J143" s="191" t="s">
        <v>2072</v>
      </c>
      <c r="K143" s="191"/>
      <c r="L143" s="199"/>
    </row>
    <row r="144" spans="1:13" ht="76.5" customHeight="1">
      <c r="A144" s="206">
        <v>141</v>
      </c>
      <c r="B144" s="183" t="s">
        <v>2100</v>
      </c>
      <c r="C144" s="195">
        <v>45366</v>
      </c>
      <c r="D144" s="191" t="s">
        <v>2086</v>
      </c>
      <c r="E144" s="184" t="s">
        <v>1975</v>
      </c>
      <c r="F144" s="196" t="s">
        <v>2095</v>
      </c>
      <c r="G144" s="197" t="s">
        <v>1983</v>
      </c>
      <c r="H144" s="198">
        <v>22300</v>
      </c>
      <c r="I144" s="192" t="s">
        <v>1910</v>
      </c>
      <c r="J144" s="191" t="s">
        <v>2072</v>
      </c>
      <c r="K144" s="213"/>
    </row>
    <row r="145" spans="1:15" ht="76.5" customHeight="1">
      <c r="A145" s="206">
        <v>142</v>
      </c>
      <c r="B145" s="183" t="s">
        <v>1037</v>
      </c>
      <c r="C145" s="195">
        <v>43664</v>
      </c>
      <c r="D145" s="191" t="s">
        <v>906</v>
      </c>
      <c r="E145" s="184" t="s">
        <v>518</v>
      </c>
      <c r="F145" s="196" t="s">
        <v>888</v>
      </c>
      <c r="G145" s="197" t="s">
        <v>544</v>
      </c>
      <c r="H145" s="198">
        <v>24100</v>
      </c>
      <c r="I145" s="192" t="s">
        <v>1911</v>
      </c>
      <c r="J145" s="191" t="s">
        <v>2072</v>
      </c>
      <c r="K145" s="213"/>
    </row>
    <row r="146" spans="1:15" ht="76.5" customHeight="1">
      <c r="A146" s="206">
        <v>143</v>
      </c>
      <c r="B146" s="206" t="s">
        <v>1615</v>
      </c>
      <c r="C146" s="195">
        <v>44500</v>
      </c>
      <c r="D146" s="213" t="s">
        <v>1616</v>
      </c>
      <c r="E146" s="184" t="s">
        <v>257</v>
      </c>
      <c r="F146" s="204" t="s">
        <v>1619</v>
      </c>
      <c r="G146" s="326" t="s">
        <v>1559</v>
      </c>
      <c r="H146" s="198">
        <v>11215</v>
      </c>
      <c r="I146" s="192" t="s">
        <v>2251</v>
      </c>
      <c r="J146" s="183" t="s">
        <v>2071</v>
      </c>
      <c r="K146" s="213"/>
    </row>
    <row r="147" spans="1:15" ht="76.5" customHeight="1">
      <c r="A147" s="206">
        <v>144</v>
      </c>
      <c r="B147" s="214" t="s">
        <v>1854</v>
      </c>
      <c r="C147" s="398">
        <v>44953</v>
      </c>
      <c r="D147" s="214" t="s">
        <v>1849</v>
      </c>
      <c r="E147" s="396" t="s">
        <v>1850</v>
      </c>
      <c r="F147" s="204" t="s">
        <v>1855</v>
      </c>
      <c r="G147" s="397" t="s">
        <v>1852</v>
      </c>
      <c r="H147" s="395">
        <v>16500</v>
      </c>
      <c r="I147" s="192" t="s">
        <v>2252</v>
      </c>
      <c r="J147" s="183" t="s">
        <v>2071</v>
      </c>
      <c r="K147" s="213"/>
    </row>
    <row r="148" spans="1:15" s="328" customFormat="1" ht="76.5" customHeight="1">
      <c r="A148" s="206">
        <v>145</v>
      </c>
      <c r="B148" s="214" t="s">
        <v>1640</v>
      </c>
      <c r="C148" s="195">
        <v>44538</v>
      </c>
      <c r="D148" s="214" t="s">
        <v>1641</v>
      </c>
      <c r="E148" s="184" t="s">
        <v>257</v>
      </c>
      <c r="F148" s="196" t="s">
        <v>1642</v>
      </c>
      <c r="G148" s="326" t="s">
        <v>1559</v>
      </c>
      <c r="H148" s="198">
        <v>11215</v>
      </c>
      <c r="I148" s="192" t="s">
        <v>2253</v>
      </c>
      <c r="J148" s="183" t="s">
        <v>2071</v>
      </c>
      <c r="K148" s="213"/>
      <c r="L148" s="199"/>
      <c r="M148" s="199"/>
    </row>
    <row r="149" spans="1:15" s="411" customFormat="1" ht="76.5" customHeight="1">
      <c r="A149" s="206">
        <v>146</v>
      </c>
      <c r="B149" s="247" t="s">
        <v>1982</v>
      </c>
      <c r="C149" s="400">
        <v>45219</v>
      </c>
      <c r="D149" s="247" t="s">
        <v>1974</v>
      </c>
      <c r="E149" s="434" t="s">
        <v>1850</v>
      </c>
      <c r="F149" s="204" t="s">
        <v>1992</v>
      </c>
      <c r="G149" s="435" t="s">
        <v>1984</v>
      </c>
      <c r="H149" s="436">
        <v>16500</v>
      </c>
      <c r="I149" s="192" t="s">
        <v>2254</v>
      </c>
      <c r="J149" s="183" t="s">
        <v>2071</v>
      </c>
      <c r="K149" s="213"/>
      <c r="L149" s="199"/>
      <c r="O149" s="199"/>
    </row>
    <row r="150" spans="1:15" ht="76.5" customHeight="1">
      <c r="A150" s="206">
        <v>147</v>
      </c>
      <c r="B150" s="247" t="s">
        <v>1901</v>
      </c>
      <c r="C150" s="400">
        <v>45044</v>
      </c>
      <c r="D150" s="247" t="s">
        <v>1879</v>
      </c>
      <c r="E150" s="434" t="s">
        <v>1850</v>
      </c>
      <c r="F150" s="196" t="s">
        <v>1895</v>
      </c>
      <c r="G150" s="435" t="s">
        <v>1852</v>
      </c>
      <c r="H150" s="436">
        <v>16500</v>
      </c>
      <c r="I150" s="192" t="s">
        <v>2255</v>
      </c>
      <c r="J150" s="183" t="s">
        <v>2071</v>
      </c>
      <c r="K150" s="213"/>
      <c r="M150" s="216"/>
      <c r="N150" s="216"/>
      <c r="O150" s="216"/>
    </row>
    <row r="151" spans="1:15" ht="76.5" customHeight="1">
      <c r="A151" s="206">
        <v>148</v>
      </c>
      <c r="B151" s="206" t="s">
        <v>1586</v>
      </c>
      <c r="C151" s="195">
        <v>44480</v>
      </c>
      <c r="D151" s="213" t="s">
        <v>1551</v>
      </c>
      <c r="E151" s="184" t="s">
        <v>257</v>
      </c>
      <c r="F151" s="196" t="s">
        <v>1565</v>
      </c>
      <c r="G151" s="326" t="s">
        <v>1559</v>
      </c>
      <c r="H151" s="198">
        <v>11215</v>
      </c>
      <c r="I151" s="192" t="s">
        <v>2250</v>
      </c>
      <c r="J151" s="183" t="s">
        <v>2071</v>
      </c>
      <c r="K151" s="213"/>
    </row>
    <row r="152" spans="1:15" s="411" customFormat="1" ht="76.5" customHeight="1">
      <c r="A152" s="206">
        <v>149</v>
      </c>
      <c r="B152" s="247" t="s">
        <v>1625</v>
      </c>
      <c r="C152" s="400">
        <v>44501</v>
      </c>
      <c r="D152" s="247" t="s">
        <v>1626</v>
      </c>
      <c r="E152" s="434" t="s">
        <v>257</v>
      </c>
      <c r="F152" s="204" t="s">
        <v>1630</v>
      </c>
      <c r="G152" s="435" t="s">
        <v>1559</v>
      </c>
      <c r="H152" s="436">
        <v>11215</v>
      </c>
      <c r="I152" s="192" t="s">
        <v>2256</v>
      </c>
      <c r="J152" s="183" t="s">
        <v>2071</v>
      </c>
      <c r="K152" s="213"/>
      <c r="L152" s="199"/>
      <c r="O152" s="199"/>
    </row>
    <row r="153" spans="1:15" ht="76.5" customHeight="1">
      <c r="A153" s="206">
        <v>150</v>
      </c>
      <c r="B153" s="213" t="s">
        <v>1586</v>
      </c>
      <c r="C153" s="195">
        <v>44480</v>
      </c>
      <c r="D153" s="213" t="s">
        <v>1551</v>
      </c>
      <c r="E153" s="184" t="s">
        <v>257</v>
      </c>
      <c r="F153" s="196" t="s">
        <v>1566</v>
      </c>
      <c r="G153" s="326" t="s">
        <v>1559</v>
      </c>
      <c r="H153" s="198">
        <v>11215</v>
      </c>
      <c r="I153" s="192" t="s">
        <v>2260</v>
      </c>
      <c r="J153" s="183" t="s">
        <v>2071</v>
      </c>
      <c r="K153" s="213"/>
    </row>
    <row r="154" spans="1:15" ht="76.5" customHeight="1">
      <c r="A154" s="206">
        <v>151</v>
      </c>
      <c r="B154" s="213" t="s">
        <v>1586</v>
      </c>
      <c r="C154" s="195">
        <v>44480</v>
      </c>
      <c r="D154" s="213" t="s">
        <v>1551</v>
      </c>
      <c r="E154" s="184" t="s">
        <v>257</v>
      </c>
      <c r="F154" s="196" t="s">
        <v>1558</v>
      </c>
      <c r="G154" s="326" t="s">
        <v>1559</v>
      </c>
      <c r="H154" s="198">
        <v>11215</v>
      </c>
      <c r="I154" s="192" t="s">
        <v>2259</v>
      </c>
      <c r="J154" s="183" t="s">
        <v>2071</v>
      </c>
      <c r="K154" s="213"/>
    </row>
    <row r="155" spans="1:15" ht="76.5" customHeight="1">
      <c r="A155" s="206">
        <v>152</v>
      </c>
      <c r="B155" s="206" t="s">
        <v>1586</v>
      </c>
      <c r="C155" s="195">
        <v>44480</v>
      </c>
      <c r="D155" s="213" t="s">
        <v>1551</v>
      </c>
      <c r="E155" s="184" t="s">
        <v>257</v>
      </c>
      <c r="F155" s="196" t="s">
        <v>1570</v>
      </c>
      <c r="G155" s="326" t="s">
        <v>1559</v>
      </c>
      <c r="H155" s="198">
        <v>11215</v>
      </c>
      <c r="I155" s="192" t="s">
        <v>2257</v>
      </c>
      <c r="J155" s="183" t="s">
        <v>2071</v>
      </c>
      <c r="K155" s="213"/>
    </row>
    <row r="156" spans="1:15" s="328" customFormat="1" ht="76.5" customHeight="1">
      <c r="A156" s="206">
        <v>153</v>
      </c>
      <c r="B156" s="214" t="s">
        <v>1640</v>
      </c>
      <c r="C156" s="195">
        <v>44538</v>
      </c>
      <c r="D156" s="214" t="s">
        <v>1641</v>
      </c>
      <c r="E156" s="184" t="s">
        <v>257</v>
      </c>
      <c r="F156" s="196" t="s">
        <v>1645</v>
      </c>
      <c r="G156" s="326" t="s">
        <v>1559</v>
      </c>
      <c r="H156" s="198">
        <v>11215</v>
      </c>
      <c r="I156" s="192" t="s">
        <v>2258</v>
      </c>
      <c r="J156" s="183" t="s">
        <v>2071</v>
      </c>
      <c r="K156" s="385"/>
    </row>
    <row r="157" spans="1:15" ht="76.5" customHeight="1">
      <c r="A157" s="206">
        <v>154</v>
      </c>
      <c r="B157" s="183" t="s">
        <v>907</v>
      </c>
      <c r="C157" s="195">
        <v>43656</v>
      </c>
      <c r="D157" s="191" t="s">
        <v>906</v>
      </c>
      <c r="E157" s="184" t="s">
        <v>518</v>
      </c>
      <c r="F157" s="196" t="s">
        <v>814</v>
      </c>
      <c r="G157" s="197" t="s">
        <v>544</v>
      </c>
      <c r="H157" s="198">
        <v>24100</v>
      </c>
      <c r="I157" s="192" t="s">
        <v>2174</v>
      </c>
      <c r="J157" s="191" t="s">
        <v>1133</v>
      </c>
      <c r="K157" s="213"/>
    </row>
    <row r="158" spans="1:15" ht="76.5" customHeight="1">
      <c r="A158" s="206">
        <v>155</v>
      </c>
      <c r="B158" s="183" t="s">
        <v>1229</v>
      </c>
      <c r="C158" s="195">
        <v>43830</v>
      </c>
      <c r="D158" s="191" t="s">
        <v>1230</v>
      </c>
      <c r="E158" s="184" t="s">
        <v>518</v>
      </c>
      <c r="F158" s="196" t="s">
        <v>1219</v>
      </c>
      <c r="G158" s="197" t="s">
        <v>544</v>
      </c>
      <c r="H158" s="198">
        <v>21300</v>
      </c>
      <c r="I158" s="192" t="s">
        <v>1906</v>
      </c>
      <c r="J158" s="191" t="s">
        <v>1133</v>
      </c>
      <c r="K158" s="213"/>
    </row>
    <row r="159" spans="1:15" ht="76.5" customHeight="1">
      <c r="A159" s="206">
        <v>156</v>
      </c>
      <c r="B159" s="183" t="s">
        <v>1037</v>
      </c>
      <c r="C159" s="195">
        <v>43664</v>
      </c>
      <c r="D159" s="191" t="s">
        <v>906</v>
      </c>
      <c r="E159" s="184" t="s">
        <v>518</v>
      </c>
      <c r="F159" s="196" t="s">
        <v>884</v>
      </c>
      <c r="G159" s="197" t="s">
        <v>544</v>
      </c>
      <c r="H159" s="198">
        <v>24100</v>
      </c>
      <c r="I159" s="192" t="s">
        <v>2041</v>
      </c>
      <c r="J159" s="191" t="s">
        <v>1133</v>
      </c>
      <c r="K159" s="213"/>
    </row>
    <row r="160" spans="1:15" ht="76.5" customHeight="1">
      <c r="A160" s="206">
        <v>157</v>
      </c>
      <c r="B160" s="183" t="s">
        <v>1038</v>
      </c>
      <c r="C160" s="195">
        <v>43668</v>
      </c>
      <c r="D160" s="191" t="s">
        <v>906</v>
      </c>
      <c r="E160" s="184" t="s">
        <v>518</v>
      </c>
      <c r="F160" s="196" t="s">
        <v>1032</v>
      </c>
      <c r="G160" s="197" t="s">
        <v>544</v>
      </c>
      <c r="H160" s="198">
        <v>24100</v>
      </c>
      <c r="I160" s="192" t="s">
        <v>2177</v>
      </c>
      <c r="J160" s="191" t="s">
        <v>1133</v>
      </c>
      <c r="K160" s="213"/>
    </row>
    <row r="161" spans="1:75" ht="76.5" customHeight="1">
      <c r="A161" s="206">
        <v>158</v>
      </c>
      <c r="B161" s="206" t="s">
        <v>1586</v>
      </c>
      <c r="C161" s="195">
        <v>44480</v>
      </c>
      <c r="D161" s="206" t="s">
        <v>1551</v>
      </c>
      <c r="E161" s="184" t="s">
        <v>1552</v>
      </c>
      <c r="F161" s="482" t="s">
        <v>1563</v>
      </c>
      <c r="G161" s="326" t="s">
        <v>1554</v>
      </c>
      <c r="H161" s="198">
        <v>21500</v>
      </c>
      <c r="I161" s="192" t="s">
        <v>2042</v>
      </c>
      <c r="J161" s="191" t="s">
        <v>1133</v>
      </c>
      <c r="K161" s="213"/>
    </row>
    <row r="162" spans="1:75" ht="76.5" customHeight="1">
      <c r="A162" s="206">
        <v>159</v>
      </c>
      <c r="B162" s="183" t="s">
        <v>1231</v>
      </c>
      <c r="C162" s="195">
        <v>43837</v>
      </c>
      <c r="D162" s="191" t="s">
        <v>1232</v>
      </c>
      <c r="E162" s="184" t="s">
        <v>518</v>
      </c>
      <c r="F162" s="196" t="s">
        <v>1225</v>
      </c>
      <c r="G162" s="197" t="s">
        <v>544</v>
      </c>
      <c r="H162" s="198">
        <v>21300</v>
      </c>
      <c r="I162" s="192" t="s">
        <v>1453</v>
      </c>
      <c r="J162" s="191" t="s">
        <v>1432</v>
      </c>
      <c r="K162" s="213"/>
    </row>
    <row r="163" spans="1:75" ht="76.5" customHeight="1">
      <c r="A163" s="206">
        <v>160</v>
      </c>
      <c r="B163" s="183" t="s">
        <v>907</v>
      </c>
      <c r="C163" s="195">
        <v>43656</v>
      </c>
      <c r="D163" s="191" t="s">
        <v>906</v>
      </c>
      <c r="E163" s="184" t="s">
        <v>518</v>
      </c>
      <c r="F163" s="196" t="s">
        <v>816</v>
      </c>
      <c r="G163" s="197" t="s">
        <v>544</v>
      </c>
      <c r="H163" s="198">
        <v>24100</v>
      </c>
      <c r="I163" s="192" t="s">
        <v>1452</v>
      </c>
      <c r="J163" s="191" t="s">
        <v>1432</v>
      </c>
      <c r="K163" s="213"/>
    </row>
    <row r="164" spans="1:75" s="330" customFormat="1" ht="76.5" customHeight="1">
      <c r="A164" s="206">
        <v>161</v>
      </c>
      <c r="B164" s="183" t="s">
        <v>1483</v>
      </c>
      <c r="C164" s="195">
        <v>44266</v>
      </c>
      <c r="D164" s="191" t="s">
        <v>1482</v>
      </c>
      <c r="E164" s="184" t="s">
        <v>518</v>
      </c>
      <c r="F164" s="196" t="s">
        <v>1407</v>
      </c>
      <c r="G164" s="197" t="s">
        <v>1409</v>
      </c>
      <c r="H164" s="198">
        <v>21300</v>
      </c>
      <c r="I164" s="192" t="s">
        <v>1451</v>
      </c>
      <c r="J164" s="191" t="s">
        <v>1432</v>
      </c>
      <c r="K164" s="468"/>
      <c r="L164" s="199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199"/>
      <c r="Y164" s="199"/>
      <c r="Z164" s="199"/>
      <c r="AA164" s="199"/>
      <c r="AB164" s="199"/>
      <c r="AC164" s="199"/>
      <c r="AD164" s="199"/>
      <c r="AE164" s="199"/>
      <c r="AF164" s="199"/>
      <c r="AG164" s="199"/>
      <c r="AH164" s="199"/>
      <c r="AI164" s="199"/>
      <c r="AJ164" s="199"/>
      <c r="AK164" s="199"/>
      <c r="AL164" s="199"/>
      <c r="AM164" s="199"/>
      <c r="AN164" s="199"/>
      <c r="AO164" s="199"/>
      <c r="AP164" s="199"/>
      <c r="AQ164" s="199"/>
      <c r="AR164" s="199"/>
      <c r="AS164" s="199"/>
      <c r="AT164" s="199"/>
      <c r="AU164" s="199"/>
      <c r="AV164" s="199"/>
      <c r="AW164" s="199"/>
      <c r="AX164" s="199"/>
      <c r="AY164" s="199"/>
      <c r="AZ164" s="199"/>
      <c r="BA164" s="199"/>
      <c r="BB164" s="199"/>
      <c r="BC164" s="199"/>
      <c r="BD164" s="199"/>
      <c r="BE164" s="199"/>
      <c r="BF164" s="199"/>
      <c r="BG164" s="199"/>
      <c r="BH164" s="199"/>
      <c r="BI164" s="199"/>
      <c r="BJ164" s="199"/>
      <c r="BK164" s="199"/>
      <c r="BL164" s="199"/>
      <c r="BM164" s="199"/>
      <c r="BN164" s="199"/>
      <c r="BO164" s="199"/>
      <c r="BP164" s="199"/>
      <c r="BQ164" s="199"/>
      <c r="BR164" s="199"/>
      <c r="BS164" s="199"/>
      <c r="BT164" s="199"/>
      <c r="BU164" s="199"/>
      <c r="BV164" s="199"/>
      <c r="BW164" s="199"/>
    </row>
    <row r="165" spans="1:75" ht="76.5" customHeight="1">
      <c r="A165" s="206">
        <v>162</v>
      </c>
      <c r="B165" s="183" t="s">
        <v>1038</v>
      </c>
      <c r="C165" s="195">
        <v>43668</v>
      </c>
      <c r="D165" s="191" t="s">
        <v>906</v>
      </c>
      <c r="E165" s="184" t="s">
        <v>518</v>
      </c>
      <c r="F165" s="196" t="s">
        <v>1030</v>
      </c>
      <c r="G165" s="197" t="s">
        <v>544</v>
      </c>
      <c r="H165" s="198">
        <v>24100</v>
      </c>
      <c r="I165" s="192" t="s">
        <v>1450</v>
      </c>
      <c r="J165" s="191" t="s">
        <v>1432</v>
      </c>
      <c r="K165" s="213"/>
      <c r="L165" s="480"/>
    </row>
    <row r="166" spans="1:75" ht="76.5" customHeight="1">
      <c r="A166" s="206">
        <v>163</v>
      </c>
      <c r="B166" s="183" t="s">
        <v>1399</v>
      </c>
      <c r="C166" s="195">
        <v>44202</v>
      </c>
      <c r="D166" s="191" t="s">
        <v>1400</v>
      </c>
      <c r="E166" s="184" t="s">
        <v>518</v>
      </c>
      <c r="F166" s="196" t="s">
        <v>1363</v>
      </c>
      <c r="G166" s="197" t="s">
        <v>544</v>
      </c>
      <c r="H166" s="198">
        <v>21300</v>
      </c>
      <c r="I166" s="192" t="s">
        <v>1449</v>
      </c>
      <c r="J166" s="191" t="s">
        <v>1432</v>
      </c>
      <c r="K166" s="213"/>
    </row>
    <row r="167" spans="1:75" ht="76.5" customHeight="1">
      <c r="A167" s="206">
        <v>164</v>
      </c>
      <c r="B167" s="183" t="s">
        <v>1229</v>
      </c>
      <c r="C167" s="195">
        <v>43830</v>
      </c>
      <c r="D167" s="191" t="s">
        <v>1230</v>
      </c>
      <c r="E167" s="184" t="s">
        <v>518</v>
      </c>
      <c r="F167" s="196" t="s">
        <v>1216</v>
      </c>
      <c r="G167" s="197" t="s">
        <v>544</v>
      </c>
      <c r="H167" s="198">
        <v>21300</v>
      </c>
      <c r="I167" s="192" t="s">
        <v>2204</v>
      </c>
      <c r="J167" s="191" t="s">
        <v>1432</v>
      </c>
      <c r="K167" s="213"/>
    </row>
    <row r="168" spans="1:75" ht="76.5" customHeight="1">
      <c r="A168" s="206">
        <v>165</v>
      </c>
      <c r="B168" s="206" t="s">
        <v>1586</v>
      </c>
      <c r="C168" s="195">
        <v>44480</v>
      </c>
      <c r="D168" s="206" t="s">
        <v>1551</v>
      </c>
      <c r="E168" s="184" t="s">
        <v>1556</v>
      </c>
      <c r="F168" s="196" t="s">
        <v>1564</v>
      </c>
      <c r="G168" s="326" t="s">
        <v>1554</v>
      </c>
      <c r="H168" s="198">
        <v>21500</v>
      </c>
      <c r="I168" s="192" t="s">
        <v>1693</v>
      </c>
      <c r="J168" s="191" t="s">
        <v>1432</v>
      </c>
      <c r="K168" s="213"/>
    </row>
    <row r="169" spans="1:75" ht="76.5" customHeight="1">
      <c r="A169" s="206">
        <v>166</v>
      </c>
      <c r="B169" s="183" t="s">
        <v>1037</v>
      </c>
      <c r="C169" s="195">
        <v>43664</v>
      </c>
      <c r="D169" s="191" t="s">
        <v>906</v>
      </c>
      <c r="E169" s="184" t="s">
        <v>518</v>
      </c>
      <c r="F169" s="482" t="s">
        <v>879</v>
      </c>
      <c r="G169" s="197" t="s">
        <v>544</v>
      </c>
      <c r="H169" s="198">
        <v>24100</v>
      </c>
      <c r="I169" s="192" t="s">
        <v>1694</v>
      </c>
      <c r="J169" s="191" t="s">
        <v>1432</v>
      </c>
      <c r="K169" s="213"/>
    </row>
    <row r="170" spans="1:75" ht="76.5" customHeight="1">
      <c r="A170" s="206">
        <v>167</v>
      </c>
      <c r="B170" s="183" t="s">
        <v>1229</v>
      </c>
      <c r="C170" s="195">
        <v>43830</v>
      </c>
      <c r="D170" s="191" t="s">
        <v>1230</v>
      </c>
      <c r="E170" s="184" t="s">
        <v>518</v>
      </c>
      <c r="F170" s="196" t="s">
        <v>1217</v>
      </c>
      <c r="G170" s="197" t="s">
        <v>544</v>
      </c>
      <c r="H170" s="198">
        <v>21300</v>
      </c>
      <c r="I170" s="192" t="s">
        <v>1695</v>
      </c>
      <c r="J170" s="191" t="s">
        <v>1432</v>
      </c>
      <c r="K170" s="213"/>
    </row>
    <row r="171" spans="1:75" s="329" customFormat="1" ht="76.5" customHeight="1">
      <c r="A171" s="206">
        <v>168</v>
      </c>
      <c r="B171" s="214" t="s">
        <v>1647</v>
      </c>
      <c r="C171" s="195">
        <v>44564</v>
      </c>
      <c r="D171" s="214" t="s">
        <v>1648</v>
      </c>
      <c r="E171" s="184" t="s">
        <v>1552</v>
      </c>
      <c r="F171" s="196" t="s">
        <v>1653</v>
      </c>
      <c r="G171" s="326" t="s">
        <v>1554</v>
      </c>
      <c r="H171" s="198">
        <v>21500</v>
      </c>
      <c r="I171" s="192" t="s">
        <v>1697</v>
      </c>
      <c r="J171" s="191" t="s">
        <v>1432</v>
      </c>
      <c r="K171" s="385"/>
      <c r="L171" s="328"/>
      <c r="M171" s="328"/>
      <c r="N171" s="328"/>
      <c r="O171" s="328"/>
      <c r="P171" s="328"/>
      <c r="Q171" s="328"/>
      <c r="R171" s="328"/>
      <c r="S171" s="328"/>
      <c r="T171" s="328"/>
      <c r="U171" s="328"/>
      <c r="V171" s="328"/>
      <c r="W171" s="328"/>
      <c r="X171" s="328"/>
      <c r="Y171" s="328"/>
      <c r="Z171" s="328"/>
      <c r="AA171" s="328"/>
      <c r="AB171" s="328"/>
      <c r="AC171" s="328"/>
      <c r="AD171" s="328"/>
      <c r="AE171" s="328"/>
      <c r="AF171" s="328"/>
      <c r="AG171" s="328"/>
      <c r="AH171" s="328"/>
      <c r="AI171" s="328"/>
      <c r="AJ171" s="328"/>
      <c r="AK171" s="328"/>
      <c r="AL171" s="328"/>
      <c r="AM171" s="328"/>
      <c r="AN171" s="328"/>
      <c r="AO171" s="328"/>
      <c r="AP171" s="328"/>
      <c r="AQ171" s="328"/>
      <c r="AR171" s="328"/>
      <c r="AS171" s="328"/>
      <c r="AT171" s="328"/>
      <c r="AU171" s="328"/>
      <c r="AV171" s="328"/>
      <c r="AW171" s="328"/>
      <c r="AX171" s="328"/>
      <c r="AY171" s="328"/>
      <c r="AZ171" s="328"/>
      <c r="BA171" s="328"/>
      <c r="BB171" s="328"/>
      <c r="BC171" s="328"/>
      <c r="BD171" s="328"/>
      <c r="BE171" s="328"/>
      <c r="BF171" s="328"/>
      <c r="BG171" s="328"/>
      <c r="BH171" s="328"/>
      <c r="BI171" s="328"/>
      <c r="BJ171" s="328"/>
      <c r="BK171" s="328"/>
      <c r="BL171" s="328"/>
      <c r="BM171" s="328"/>
      <c r="BN171" s="328"/>
      <c r="BO171" s="328"/>
      <c r="BP171" s="328"/>
      <c r="BQ171" s="328"/>
      <c r="BR171" s="328"/>
      <c r="BS171" s="328"/>
      <c r="BT171" s="328"/>
      <c r="BU171" s="328"/>
      <c r="BV171" s="328"/>
      <c r="BW171" s="328"/>
    </row>
    <row r="172" spans="1:75" ht="76.5" customHeight="1">
      <c r="A172" s="206">
        <v>169</v>
      </c>
      <c r="B172" s="183" t="s">
        <v>1037</v>
      </c>
      <c r="C172" s="195">
        <v>43664</v>
      </c>
      <c r="D172" s="191" t="s">
        <v>906</v>
      </c>
      <c r="E172" s="184" t="s">
        <v>518</v>
      </c>
      <c r="F172" s="196" t="s">
        <v>881</v>
      </c>
      <c r="G172" s="197" t="s">
        <v>544</v>
      </c>
      <c r="H172" s="198">
        <v>24100</v>
      </c>
      <c r="I172" s="192" t="s">
        <v>1832</v>
      </c>
      <c r="J172" s="191" t="s">
        <v>1432</v>
      </c>
      <c r="K172" s="385"/>
    </row>
    <row r="173" spans="1:75" ht="76.5" customHeight="1">
      <c r="A173" s="206">
        <v>170</v>
      </c>
      <c r="B173" s="206" t="s">
        <v>1586</v>
      </c>
      <c r="C173" s="195">
        <v>44480</v>
      </c>
      <c r="D173" s="206" t="s">
        <v>1551</v>
      </c>
      <c r="E173" s="184" t="s">
        <v>1552</v>
      </c>
      <c r="F173" s="196" t="s">
        <v>1553</v>
      </c>
      <c r="G173" s="326" t="s">
        <v>1554</v>
      </c>
      <c r="H173" s="198">
        <v>21500</v>
      </c>
      <c r="I173" s="192" t="s">
        <v>1460</v>
      </c>
      <c r="J173" s="191" t="s">
        <v>1432</v>
      </c>
      <c r="K173" s="213"/>
    </row>
    <row r="174" spans="1:75" ht="76.5" customHeight="1">
      <c r="A174" s="206">
        <v>171</v>
      </c>
      <c r="B174" s="213" t="s">
        <v>1586</v>
      </c>
      <c r="C174" s="195">
        <v>44480</v>
      </c>
      <c r="D174" s="206" t="s">
        <v>1551</v>
      </c>
      <c r="E174" s="184" t="s">
        <v>1552</v>
      </c>
      <c r="F174" s="196" t="s">
        <v>1581</v>
      </c>
      <c r="G174" s="326" t="s">
        <v>1554</v>
      </c>
      <c r="H174" s="198">
        <v>21500</v>
      </c>
      <c r="I174" s="192" t="s">
        <v>1912</v>
      </c>
      <c r="J174" s="191" t="s">
        <v>1432</v>
      </c>
      <c r="K174" s="213"/>
    </row>
    <row r="175" spans="1:75" ht="76.5" customHeight="1">
      <c r="A175" s="206">
        <v>172</v>
      </c>
      <c r="B175" s="183" t="s">
        <v>1231</v>
      </c>
      <c r="C175" s="195">
        <v>43837</v>
      </c>
      <c r="D175" s="191" t="s">
        <v>1232</v>
      </c>
      <c r="E175" s="184" t="s">
        <v>518</v>
      </c>
      <c r="F175" s="196" t="s">
        <v>1222</v>
      </c>
      <c r="G175" s="197" t="s">
        <v>544</v>
      </c>
      <c r="H175" s="198">
        <v>21300</v>
      </c>
      <c r="I175" s="192" t="s">
        <v>1459</v>
      </c>
      <c r="J175" s="191" t="s">
        <v>1432</v>
      </c>
      <c r="K175" s="213"/>
    </row>
    <row r="176" spans="1:75" ht="76.5" customHeight="1">
      <c r="A176" s="206">
        <v>173</v>
      </c>
      <c r="B176" s="183" t="s">
        <v>1399</v>
      </c>
      <c r="C176" s="195">
        <v>44202</v>
      </c>
      <c r="D176" s="191" t="s">
        <v>1400</v>
      </c>
      <c r="E176" s="184" t="s">
        <v>518</v>
      </c>
      <c r="F176" s="196" t="s">
        <v>1371</v>
      </c>
      <c r="G176" s="197" t="s">
        <v>544</v>
      </c>
      <c r="H176" s="198">
        <v>21300</v>
      </c>
      <c r="I176" s="192" t="s">
        <v>1458</v>
      </c>
      <c r="J176" s="191" t="s">
        <v>1432</v>
      </c>
      <c r="K176" s="213"/>
    </row>
    <row r="177" spans="1:76" ht="76.5" customHeight="1">
      <c r="A177" s="206">
        <v>174</v>
      </c>
      <c r="B177" s="183" t="s">
        <v>1399</v>
      </c>
      <c r="C177" s="195">
        <v>44202</v>
      </c>
      <c r="D177" s="191" t="s">
        <v>1400</v>
      </c>
      <c r="E177" s="184" t="s">
        <v>518</v>
      </c>
      <c r="F177" s="196" t="s">
        <v>1369</v>
      </c>
      <c r="G177" s="197" t="s">
        <v>544</v>
      </c>
      <c r="H177" s="198">
        <v>21300</v>
      </c>
      <c r="I177" s="192" t="s">
        <v>1456</v>
      </c>
      <c r="J177" s="191" t="s">
        <v>1432</v>
      </c>
      <c r="K177" s="213"/>
    </row>
    <row r="178" spans="1:76" s="330" customFormat="1" ht="76.5" customHeight="1">
      <c r="A178" s="206">
        <v>175</v>
      </c>
      <c r="B178" s="183" t="s">
        <v>1483</v>
      </c>
      <c r="C178" s="195">
        <v>44266</v>
      </c>
      <c r="D178" s="191" t="s">
        <v>1482</v>
      </c>
      <c r="E178" s="184" t="s">
        <v>518</v>
      </c>
      <c r="F178" s="196" t="s">
        <v>1413</v>
      </c>
      <c r="G178" s="197" t="s">
        <v>1409</v>
      </c>
      <c r="H178" s="198">
        <v>21300</v>
      </c>
      <c r="I178" s="192" t="s">
        <v>1455</v>
      </c>
      <c r="J178" s="191" t="s">
        <v>1432</v>
      </c>
      <c r="K178" s="213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9"/>
      <c r="W178" s="199"/>
      <c r="X178" s="199"/>
      <c r="Y178" s="199"/>
      <c r="Z178" s="199"/>
      <c r="AA178" s="199"/>
      <c r="AB178" s="199"/>
      <c r="AC178" s="199"/>
      <c r="AD178" s="199"/>
      <c r="AE178" s="199"/>
      <c r="AF178" s="199"/>
      <c r="AG178" s="199"/>
      <c r="AH178" s="199"/>
      <c r="AI178" s="199"/>
      <c r="AJ178" s="199"/>
      <c r="AK178" s="199"/>
      <c r="AL178" s="199"/>
      <c r="AM178" s="199"/>
      <c r="AN178" s="199"/>
      <c r="AO178" s="199"/>
      <c r="AP178" s="199"/>
      <c r="AQ178" s="199"/>
      <c r="AR178" s="199"/>
      <c r="AS178" s="199"/>
      <c r="AT178" s="199"/>
      <c r="AU178" s="199"/>
      <c r="AV178" s="199"/>
      <c r="AW178" s="199"/>
      <c r="AX178" s="199"/>
      <c r="AY178" s="199"/>
      <c r="AZ178" s="199"/>
      <c r="BA178" s="199"/>
      <c r="BB178" s="199"/>
      <c r="BC178" s="199"/>
      <c r="BD178" s="199"/>
      <c r="BE178" s="199"/>
      <c r="BF178" s="199"/>
      <c r="BG178" s="199"/>
      <c r="BH178" s="199"/>
      <c r="BI178" s="199"/>
      <c r="BJ178" s="199"/>
      <c r="BK178" s="199"/>
      <c r="BL178" s="199"/>
      <c r="BM178" s="199"/>
      <c r="BN178" s="199"/>
      <c r="BO178" s="199"/>
      <c r="BP178" s="199"/>
      <c r="BQ178" s="199"/>
      <c r="BR178" s="199"/>
      <c r="BS178" s="199"/>
      <c r="BT178" s="199"/>
      <c r="BU178" s="199"/>
      <c r="BV178" s="199"/>
      <c r="BW178" s="199"/>
    </row>
    <row r="179" spans="1:76" ht="76.5" customHeight="1">
      <c r="A179" s="206">
        <v>176</v>
      </c>
      <c r="B179" s="183" t="s">
        <v>1158</v>
      </c>
      <c r="C179" s="195">
        <v>43760</v>
      </c>
      <c r="D179" s="191" t="s">
        <v>1159</v>
      </c>
      <c r="E179" s="184" t="s">
        <v>518</v>
      </c>
      <c r="F179" s="196" t="s">
        <v>1147</v>
      </c>
      <c r="G179" s="197" t="s">
        <v>544</v>
      </c>
      <c r="H179" s="198">
        <v>21300</v>
      </c>
      <c r="I179" s="192" t="s">
        <v>1457</v>
      </c>
      <c r="J179" s="191" t="s">
        <v>1432</v>
      </c>
      <c r="K179" s="213"/>
    </row>
    <row r="180" spans="1:76" ht="76.5" customHeight="1">
      <c r="A180" s="206">
        <v>177</v>
      </c>
      <c r="B180" s="183" t="s">
        <v>542</v>
      </c>
      <c r="C180" s="195">
        <v>43465</v>
      </c>
      <c r="D180" s="191" t="s">
        <v>543</v>
      </c>
      <c r="E180" s="184" t="s">
        <v>518</v>
      </c>
      <c r="F180" s="196" t="s">
        <v>525</v>
      </c>
      <c r="G180" s="197" t="s">
        <v>544</v>
      </c>
      <c r="H180" s="198">
        <v>24100</v>
      </c>
      <c r="I180" s="192" t="s">
        <v>1454</v>
      </c>
      <c r="J180" s="191" t="s">
        <v>1432</v>
      </c>
      <c r="K180" s="213"/>
    </row>
    <row r="181" spans="1:76" s="330" customFormat="1" ht="76.5" customHeight="1">
      <c r="A181" s="206">
        <v>178</v>
      </c>
      <c r="B181" s="183" t="s">
        <v>1483</v>
      </c>
      <c r="C181" s="195">
        <v>44266</v>
      </c>
      <c r="D181" s="191" t="s">
        <v>1482</v>
      </c>
      <c r="E181" s="184" t="s">
        <v>518</v>
      </c>
      <c r="F181" s="196" t="s">
        <v>1414</v>
      </c>
      <c r="G181" s="197" t="s">
        <v>1409</v>
      </c>
      <c r="H181" s="198">
        <v>21300</v>
      </c>
      <c r="I181" s="192" t="s">
        <v>1698</v>
      </c>
      <c r="J181" s="191" t="s">
        <v>1432</v>
      </c>
      <c r="K181" s="213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9"/>
      <c r="W181" s="199"/>
      <c r="X181" s="199"/>
      <c r="Y181" s="199"/>
      <c r="Z181" s="199"/>
      <c r="AA181" s="199"/>
      <c r="AB181" s="199"/>
      <c r="AC181" s="199"/>
      <c r="AD181" s="199"/>
      <c r="AE181" s="199"/>
      <c r="AF181" s="199"/>
      <c r="AG181" s="199"/>
      <c r="AH181" s="199"/>
      <c r="AI181" s="199"/>
      <c r="AJ181" s="199"/>
      <c r="AK181" s="199"/>
      <c r="AL181" s="199"/>
      <c r="AM181" s="199"/>
      <c r="AN181" s="199"/>
      <c r="AO181" s="199"/>
      <c r="AP181" s="199"/>
      <c r="AQ181" s="199"/>
      <c r="AR181" s="199"/>
      <c r="AS181" s="199"/>
      <c r="AT181" s="199"/>
      <c r="AU181" s="199"/>
      <c r="AV181" s="199"/>
      <c r="AW181" s="199"/>
      <c r="AX181" s="199"/>
      <c r="AY181" s="199"/>
      <c r="AZ181" s="199"/>
      <c r="BA181" s="199"/>
      <c r="BB181" s="199"/>
      <c r="BC181" s="199"/>
      <c r="BD181" s="199"/>
      <c r="BE181" s="199"/>
      <c r="BF181" s="199"/>
      <c r="BG181" s="199"/>
      <c r="BH181" s="199"/>
      <c r="BI181" s="199"/>
      <c r="BJ181" s="199"/>
      <c r="BK181" s="199"/>
      <c r="BL181" s="199"/>
      <c r="BM181" s="199"/>
      <c r="BN181" s="199"/>
      <c r="BO181" s="199"/>
      <c r="BP181" s="199"/>
      <c r="BQ181" s="199"/>
      <c r="BR181" s="199"/>
      <c r="BS181" s="199"/>
      <c r="BT181" s="199"/>
      <c r="BU181" s="199"/>
      <c r="BV181" s="199"/>
      <c r="BW181" s="199"/>
    </row>
    <row r="182" spans="1:76" ht="76.5" customHeight="1">
      <c r="A182" s="206">
        <v>179</v>
      </c>
      <c r="B182" s="183" t="s">
        <v>907</v>
      </c>
      <c r="C182" s="195">
        <v>43656</v>
      </c>
      <c r="D182" s="191" t="s">
        <v>906</v>
      </c>
      <c r="E182" s="184" t="s">
        <v>518</v>
      </c>
      <c r="F182" s="196" t="s">
        <v>820</v>
      </c>
      <c r="G182" s="197" t="s">
        <v>544</v>
      </c>
      <c r="H182" s="198">
        <v>24100</v>
      </c>
      <c r="I182" s="192" t="s">
        <v>1743</v>
      </c>
      <c r="J182" s="191" t="s">
        <v>1228</v>
      </c>
      <c r="K182" s="213"/>
    </row>
    <row r="183" spans="1:76" s="411" customFormat="1" ht="76.5" customHeight="1">
      <c r="A183" s="206">
        <v>180</v>
      </c>
      <c r="B183" s="247" t="s">
        <v>2099</v>
      </c>
      <c r="C183" s="400">
        <v>45366</v>
      </c>
      <c r="D183" s="247" t="s">
        <v>2086</v>
      </c>
      <c r="E183" s="434" t="s">
        <v>1975</v>
      </c>
      <c r="F183" s="402" t="s">
        <v>2087</v>
      </c>
      <c r="G183" s="435" t="s">
        <v>1983</v>
      </c>
      <c r="H183" s="436">
        <v>22300</v>
      </c>
      <c r="I183" s="192" t="s">
        <v>1744</v>
      </c>
      <c r="J183" s="191" t="s">
        <v>1228</v>
      </c>
      <c r="K183" s="191"/>
    </row>
    <row r="184" spans="1:76" ht="76.5" customHeight="1">
      <c r="A184" s="206">
        <v>181</v>
      </c>
      <c r="B184" s="200" t="s">
        <v>1177</v>
      </c>
      <c r="C184" s="201">
        <v>43735</v>
      </c>
      <c r="D184" s="191" t="s">
        <v>1176</v>
      </c>
      <c r="E184" s="184" t="s">
        <v>518</v>
      </c>
      <c r="F184" s="196" t="s">
        <v>1129</v>
      </c>
      <c r="G184" s="197" t="s">
        <v>544</v>
      </c>
      <c r="H184" s="198">
        <v>21300</v>
      </c>
      <c r="I184" s="192" t="s">
        <v>1963</v>
      </c>
      <c r="J184" s="191" t="s">
        <v>1228</v>
      </c>
      <c r="K184" s="213"/>
    </row>
    <row r="185" spans="1:76" ht="76.5" customHeight="1">
      <c r="A185" s="206">
        <v>182</v>
      </c>
      <c r="B185" s="183" t="s">
        <v>1399</v>
      </c>
      <c r="C185" s="195">
        <v>44202</v>
      </c>
      <c r="D185" s="191" t="s">
        <v>1400</v>
      </c>
      <c r="E185" s="184" t="s">
        <v>518</v>
      </c>
      <c r="F185" s="196" t="s">
        <v>1366</v>
      </c>
      <c r="G185" s="197" t="s">
        <v>544</v>
      </c>
      <c r="H185" s="198">
        <v>21300</v>
      </c>
      <c r="I185" s="192" t="s">
        <v>1913</v>
      </c>
      <c r="J185" s="191" t="s">
        <v>1228</v>
      </c>
      <c r="K185" s="213"/>
    </row>
    <row r="186" spans="1:76" s="328" customFormat="1" ht="76.5" customHeight="1">
      <c r="A186" s="206">
        <v>183</v>
      </c>
      <c r="B186" s="214" t="s">
        <v>1664</v>
      </c>
      <c r="C186" s="195">
        <v>44614</v>
      </c>
      <c r="D186" s="214" t="s">
        <v>1665</v>
      </c>
      <c r="E186" s="184" t="s">
        <v>1552</v>
      </c>
      <c r="F186" s="196" t="s">
        <v>1666</v>
      </c>
      <c r="G186" s="326" t="s">
        <v>1554</v>
      </c>
      <c r="H186" s="198">
        <v>21500</v>
      </c>
      <c r="I186" s="192" t="s">
        <v>1745</v>
      </c>
      <c r="J186" s="191" t="s">
        <v>1228</v>
      </c>
      <c r="K186" s="213"/>
    </row>
    <row r="187" spans="1:76" s="329" customFormat="1" ht="76.5" customHeight="1">
      <c r="A187" s="206">
        <v>184</v>
      </c>
      <c r="B187" s="214" t="s">
        <v>1647</v>
      </c>
      <c r="C187" s="195">
        <v>44564</v>
      </c>
      <c r="D187" s="214" t="s">
        <v>1648</v>
      </c>
      <c r="E187" s="184" t="s">
        <v>1552</v>
      </c>
      <c r="F187" s="196" t="s">
        <v>1651</v>
      </c>
      <c r="G187" s="326" t="s">
        <v>1554</v>
      </c>
      <c r="H187" s="462">
        <v>21500</v>
      </c>
      <c r="I187" s="192" t="s">
        <v>1237</v>
      </c>
      <c r="J187" s="191" t="s">
        <v>1228</v>
      </c>
      <c r="K187" s="213"/>
      <c r="L187" s="199"/>
      <c r="M187" s="328"/>
      <c r="N187" s="328"/>
      <c r="O187" s="328"/>
      <c r="P187" s="328"/>
      <c r="Q187" s="328"/>
      <c r="R187" s="328"/>
      <c r="S187" s="328"/>
      <c r="T187" s="328"/>
      <c r="U187" s="328"/>
      <c r="V187" s="328"/>
      <c r="W187" s="328"/>
      <c r="X187" s="328"/>
      <c r="Y187" s="328"/>
      <c r="Z187" s="328"/>
      <c r="AA187" s="328"/>
      <c r="AB187" s="328"/>
      <c r="AC187" s="328"/>
      <c r="AD187" s="328"/>
      <c r="AE187" s="328"/>
      <c r="AF187" s="328"/>
      <c r="AG187" s="328"/>
      <c r="AH187" s="328"/>
      <c r="AI187" s="328"/>
      <c r="AJ187" s="328"/>
      <c r="AK187" s="328"/>
      <c r="AL187" s="328"/>
      <c r="AM187" s="328"/>
      <c r="AN187" s="328"/>
      <c r="AO187" s="328"/>
      <c r="AP187" s="328"/>
      <c r="AQ187" s="328"/>
      <c r="AR187" s="328"/>
      <c r="AS187" s="328"/>
      <c r="AT187" s="328"/>
      <c r="AU187" s="328"/>
      <c r="AV187" s="328"/>
      <c r="AW187" s="328"/>
      <c r="AX187" s="328"/>
      <c r="AY187" s="328"/>
      <c r="AZ187" s="328"/>
      <c r="BA187" s="328"/>
      <c r="BB187" s="328"/>
      <c r="BC187" s="328"/>
      <c r="BD187" s="328"/>
      <c r="BE187" s="328"/>
      <c r="BF187" s="328"/>
      <c r="BG187" s="328"/>
      <c r="BH187" s="328"/>
      <c r="BI187" s="328"/>
      <c r="BJ187" s="328"/>
      <c r="BK187" s="328"/>
      <c r="BL187" s="328"/>
      <c r="BM187" s="328"/>
      <c r="BN187" s="328"/>
      <c r="BO187" s="328"/>
      <c r="BP187" s="328"/>
      <c r="BQ187" s="328"/>
      <c r="BR187" s="328"/>
      <c r="BS187" s="328"/>
      <c r="BT187" s="328"/>
      <c r="BU187" s="328"/>
      <c r="BV187" s="328"/>
      <c r="BW187" s="328"/>
      <c r="BX187" s="328"/>
    </row>
    <row r="188" spans="1:76" ht="76.5" customHeight="1">
      <c r="A188" s="206">
        <v>185</v>
      </c>
      <c r="B188" s="183" t="s">
        <v>542</v>
      </c>
      <c r="C188" s="195">
        <v>43465</v>
      </c>
      <c r="D188" s="191" t="s">
        <v>543</v>
      </c>
      <c r="E188" s="184" t="s">
        <v>518</v>
      </c>
      <c r="F188" s="204" t="s">
        <v>537</v>
      </c>
      <c r="G188" s="197" t="s">
        <v>544</v>
      </c>
      <c r="H188" s="198">
        <v>24100</v>
      </c>
      <c r="I188" s="192" t="s">
        <v>1235</v>
      </c>
      <c r="J188" s="191" t="s">
        <v>1228</v>
      </c>
      <c r="K188" s="191"/>
      <c r="M188" s="99"/>
    </row>
    <row r="189" spans="1:76" ht="76.5" customHeight="1">
      <c r="A189" s="206">
        <v>186</v>
      </c>
      <c r="B189" s="183" t="s">
        <v>1039</v>
      </c>
      <c r="C189" s="195">
        <v>43661</v>
      </c>
      <c r="D189" s="191" t="s">
        <v>906</v>
      </c>
      <c r="E189" s="184" t="s">
        <v>518</v>
      </c>
      <c r="F189" s="196" t="s">
        <v>865</v>
      </c>
      <c r="G189" s="197" t="s">
        <v>544</v>
      </c>
      <c r="H189" s="198">
        <v>24100</v>
      </c>
      <c r="I189" s="192" t="s">
        <v>1914</v>
      </c>
      <c r="J189" s="191" t="s">
        <v>1228</v>
      </c>
      <c r="K189" s="213"/>
    </row>
    <row r="190" spans="1:76" ht="76.5" customHeight="1">
      <c r="A190" s="206">
        <v>187</v>
      </c>
      <c r="B190" s="183" t="s">
        <v>1429</v>
      </c>
      <c r="C190" s="195">
        <v>44265</v>
      </c>
      <c r="D190" s="191" t="s">
        <v>1418</v>
      </c>
      <c r="E190" s="184" t="s">
        <v>518</v>
      </c>
      <c r="F190" s="196" t="s">
        <v>1425</v>
      </c>
      <c r="G190" s="197" t="s">
        <v>1430</v>
      </c>
      <c r="H190" s="215">
        <v>14500</v>
      </c>
      <c r="I190" s="192" t="s">
        <v>1234</v>
      </c>
      <c r="J190" s="191" t="s">
        <v>1228</v>
      </c>
      <c r="K190" s="213"/>
    </row>
    <row r="191" spans="1:76" ht="76.5" customHeight="1">
      <c r="A191" s="206">
        <v>188</v>
      </c>
      <c r="B191" s="183" t="s">
        <v>1399</v>
      </c>
      <c r="C191" s="195">
        <v>44202</v>
      </c>
      <c r="D191" s="191" t="s">
        <v>1400</v>
      </c>
      <c r="E191" s="184" t="s">
        <v>518</v>
      </c>
      <c r="F191" s="196" t="s">
        <v>1316</v>
      </c>
      <c r="G191" s="197" t="s">
        <v>544</v>
      </c>
      <c r="H191" s="198">
        <v>21300</v>
      </c>
      <c r="I191" s="192" t="s">
        <v>1233</v>
      </c>
      <c r="J191" s="191" t="s">
        <v>1228</v>
      </c>
      <c r="K191" s="213"/>
    </row>
    <row r="192" spans="1:76" s="330" customFormat="1" ht="76.5" customHeight="1">
      <c r="A192" s="206">
        <v>189</v>
      </c>
      <c r="B192" s="183" t="s">
        <v>1483</v>
      </c>
      <c r="C192" s="195">
        <v>44266</v>
      </c>
      <c r="D192" s="191" t="s">
        <v>1482</v>
      </c>
      <c r="E192" s="184" t="s">
        <v>518</v>
      </c>
      <c r="F192" s="196" t="s">
        <v>1406</v>
      </c>
      <c r="G192" s="197" t="s">
        <v>1409</v>
      </c>
      <c r="H192" s="198">
        <v>21300</v>
      </c>
      <c r="I192" s="192" t="s">
        <v>1999</v>
      </c>
      <c r="J192" s="191" t="s">
        <v>1228</v>
      </c>
      <c r="K192" s="213"/>
      <c r="L192" s="199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/>
      <c r="W192" s="199"/>
      <c r="X192" s="199"/>
      <c r="Y192" s="199"/>
      <c r="Z192" s="199"/>
      <c r="AA192" s="199"/>
      <c r="AB192" s="199"/>
      <c r="AC192" s="199"/>
      <c r="AD192" s="199"/>
      <c r="AE192" s="199"/>
      <c r="AF192" s="199"/>
      <c r="AG192" s="199"/>
      <c r="AH192" s="199"/>
      <c r="AI192" s="199"/>
      <c r="AJ192" s="199"/>
      <c r="AK192" s="199"/>
      <c r="AL192" s="199"/>
      <c r="AM192" s="199"/>
      <c r="AN192" s="199"/>
      <c r="AO192" s="199"/>
      <c r="AP192" s="199"/>
      <c r="AQ192" s="199"/>
      <c r="AR192" s="199"/>
      <c r="AS192" s="199"/>
      <c r="AT192" s="199"/>
      <c r="AU192" s="199"/>
      <c r="AV192" s="199"/>
      <c r="AW192" s="199"/>
      <c r="AX192" s="199"/>
      <c r="AY192" s="199"/>
      <c r="AZ192" s="199"/>
      <c r="BA192" s="199"/>
      <c r="BB192" s="199"/>
      <c r="BC192" s="199"/>
      <c r="BD192" s="199"/>
      <c r="BE192" s="199"/>
      <c r="BF192" s="199"/>
      <c r="BG192" s="199"/>
      <c r="BH192" s="199"/>
      <c r="BI192" s="199"/>
      <c r="BJ192" s="199"/>
      <c r="BK192" s="199"/>
      <c r="BL192" s="199"/>
      <c r="BM192" s="199"/>
      <c r="BN192" s="199"/>
      <c r="BO192" s="199"/>
      <c r="BP192" s="199"/>
      <c r="BQ192" s="199"/>
      <c r="BR192" s="199"/>
      <c r="BS192" s="199"/>
      <c r="BT192" s="199"/>
      <c r="BU192" s="199"/>
      <c r="BV192" s="199"/>
      <c r="BW192" s="199"/>
    </row>
    <row r="193" spans="1:11" ht="76.5" customHeight="1">
      <c r="A193" s="206">
        <v>190</v>
      </c>
      <c r="B193" s="211" t="s">
        <v>542</v>
      </c>
      <c r="C193" s="195">
        <v>43465</v>
      </c>
      <c r="D193" s="191" t="s">
        <v>543</v>
      </c>
      <c r="E193" s="184" t="s">
        <v>518</v>
      </c>
      <c r="F193" s="204" t="s">
        <v>527</v>
      </c>
      <c r="G193" s="197" t="s">
        <v>544</v>
      </c>
      <c r="H193" s="198">
        <v>24100</v>
      </c>
      <c r="I193" s="192" t="s">
        <v>2000</v>
      </c>
      <c r="J193" s="191" t="s">
        <v>1228</v>
      </c>
      <c r="K193" s="213"/>
    </row>
    <row r="194" spans="1:11" s="411" customFormat="1" ht="76.5" customHeight="1">
      <c r="A194" s="206">
        <v>191</v>
      </c>
      <c r="B194" s="247" t="s">
        <v>2111</v>
      </c>
      <c r="C194" s="400">
        <v>45373</v>
      </c>
      <c r="D194" s="247" t="s">
        <v>2086</v>
      </c>
      <c r="E194" s="434" t="s">
        <v>1975</v>
      </c>
      <c r="F194" s="402" t="s">
        <v>2104</v>
      </c>
      <c r="G194" s="435" t="s">
        <v>1983</v>
      </c>
      <c r="H194" s="436">
        <v>22300</v>
      </c>
      <c r="I194" s="192" t="s">
        <v>2001</v>
      </c>
      <c r="J194" s="191" t="s">
        <v>1228</v>
      </c>
      <c r="K194" s="191"/>
    </row>
    <row r="195" spans="1:11" ht="76.5" customHeight="1">
      <c r="A195" s="206">
        <v>192</v>
      </c>
      <c r="B195" s="183" t="s">
        <v>1231</v>
      </c>
      <c r="C195" s="195">
        <v>43837</v>
      </c>
      <c r="D195" s="191" t="s">
        <v>1232</v>
      </c>
      <c r="E195" s="184" t="s">
        <v>518</v>
      </c>
      <c r="F195" s="196" t="s">
        <v>1224</v>
      </c>
      <c r="G195" s="197" t="s">
        <v>544</v>
      </c>
      <c r="H195" s="198">
        <v>21300</v>
      </c>
      <c r="I195" s="192" t="s">
        <v>2002</v>
      </c>
      <c r="J195" s="191" t="s">
        <v>1228</v>
      </c>
      <c r="K195" s="213"/>
    </row>
    <row r="196" spans="1:11" ht="76.5" customHeight="1">
      <c r="A196" s="206">
        <v>193</v>
      </c>
      <c r="B196" s="183" t="s">
        <v>1208</v>
      </c>
      <c r="C196" s="195">
        <v>43826</v>
      </c>
      <c r="D196" s="191" t="s">
        <v>1206</v>
      </c>
      <c r="E196" s="184" t="s">
        <v>518</v>
      </c>
      <c r="F196" s="196" t="s">
        <v>1212</v>
      </c>
      <c r="G196" s="197" t="s">
        <v>544</v>
      </c>
      <c r="H196" s="198">
        <v>21300</v>
      </c>
      <c r="I196" s="192" t="s">
        <v>2003</v>
      </c>
      <c r="J196" s="191" t="s">
        <v>1228</v>
      </c>
      <c r="K196" s="213"/>
    </row>
    <row r="197" spans="1:11" ht="76.5" customHeight="1">
      <c r="A197" s="206">
        <v>194</v>
      </c>
      <c r="B197" s="183" t="s">
        <v>1197</v>
      </c>
      <c r="C197" s="195">
        <v>43794</v>
      </c>
      <c r="D197" s="191" t="s">
        <v>1187</v>
      </c>
      <c r="E197" s="184" t="s">
        <v>518</v>
      </c>
      <c r="F197" s="196" t="s">
        <v>1186</v>
      </c>
      <c r="G197" s="197" t="s">
        <v>544</v>
      </c>
      <c r="H197" s="198">
        <v>21300</v>
      </c>
      <c r="I197" s="192" t="s">
        <v>2004</v>
      </c>
      <c r="J197" s="191" t="s">
        <v>1228</v>
      </c>
      <c r="K197" s="213"/>
    </row>
    <row r="198" spans="1:11" ht="76.5" customHeight="1">
      <c r="A198" s="206">
        <v>195</v>
      </c>
      <c r="B198" s="183" t="s">
        <v>1483</v>
      </c>
      <c r="C198" s="195">
        <v>44266</v>
      </c>
      <c r="D198" s="191" t="s">
        <v>1482</v>
      </c>
      <c r="E198" s="184" t="s">
        <v>518</v>
      </c>
      <c r="F198" s="196" t="s">
        <v>1412</v>
      </c>
      <c r="G198" s="326" t="s">
        <v>1554</v>
      </c>
      <c r="H198" s="198">
        <v>21500</v>
      </c>
      <c r="I198" s="192" t="s">
        <v>2005</v>
      </c>
      <c r="J198" s="191" t="s">
        <v>1228</v>
      </c>
      <c r="K198" s="213"/>
    </row>
    <row r="199" spans="1:11" ht="76.5" customHeight="1">
      <c r="A199" s="206">
        <v>196</v>
      </c>
      <c r="B199" s="213" t="s">
        <v>1586</v>
      </c>
      <c r="C199" s="195">
        <v>44480</v>
      </c>
      <c r="D199" s="213" t="s">
        <v>1551</v>
      </c>
      <c r="E199" s="184" t="s">
        <v>1552</v>
      </c>
      <c r="F199" s="196" t="s">
        <v>1578</v>
      </c>
      <c r="G199" s="326" t="s">
        <v>1554</v>
      </c>
      <c r="H199" s="198">
        <v>21500</v>
      </c>
      <c r="I199" s="192" t="s">
        <v>2006</v>
      </c>
      <c r="J199" s="191" t="s">
        <v>1228</v>
      </c>
      <c r="K199" s="213"/>
    </row>
    <row r="200" spans="1:11" ht="76.5" customHeight="1">
      <c r="A200" s="206">
        <v>197</v>
      </c>
      <c r="B200" s="183" t="s">
        <v>1399</v>
      </c>
      <c r="C200" s="195">
        <v>44202</v>
      </c>
      <c r="D200" s="191" t="s">
        <v>1400</v>
      </c>
      <c r="E200" s="184" t="s">
        <v>518</v>
      </c>
      <c r="F200" s="196" t="s">
        <v>1359</v>
      </c>
      <c r="G200" s="197" t="s">
        <v>544</v>
      </c>
      <c r="H200" s="198">
        <v>21300</v>
      </c>
      <c r="I200" s="192" t="s">
        <v>2007</v>
      </c>
      <c r="J200" s="191" t="s">
        <v>1228</v>
      </c>
      <c r="K200" s="213"/>
    </row>
    <row r="201" spans="1:11" ht="76.5" customHeight="1">
      <c r="A201" s="206">
        <v>198</v>
      </c>
      <c r="B201" s="183" t="s">
        <v>1481</v>
      </c>
      <c r="C201" s="195">
        <v>44316</v>
      </c>
      <c r="D201" s="191" t="s">
        <v>1480</v>
      </c>
      <c r="E201" s="184" t="s">
        <v>518</v>
      </c>
      <c r="F201" s="196" t="s">
        <v>1445</v>
      </c>
      <c r="G201" s="197" t="s">
        <v>1430</v>
      </c>
      <c r="H201" s="215">
        <v>14500</v>
      </c>
      <c r="I201" s="192" t="s">
        <v>2008</v>
      </c>
      <c r="J201" s="191" t="s">
        <v>1228</v>
      </c>
      <c r="K201" s="213"/>
    </row>
    <row r="202" spans="1:11" ht="76.5" customHeight="1">
      <c r="A202" s="206">
        <v>199</v>
      </c>
      <c r="B202" s="211" t="s">
        <v>542</v>
      </c>
      <c r="C202" s="195">
        <v>43465</v>
      </c>
      <c r="D202" s="191" t="s">
        <v>543</v>
      </c>
      <c r="E202" s="184" t="s">
        <v>518</v>
      </c>
      <c r="F202" s="196" t="s">
        <v>522</v>
      </c>
      <c r="G202" s="197" t="s">
        <v>544</v>
      </c>
      <c r="H202" s="198">
        <v>24100</v>
      </c>
      <c r="I202" s="192" t="s">
        <v>2278</v>
      </c>
      <c r="J202" s="191" t="s">
        <v>1759</v>
      </c>
      <c r="K202" s="213"/>
    </row>
    <row r="203" spans="1:11" ht="76.5" customHeight="1">
      <c r="A203" s="206">
        <v>200</v>
      </c>
      <c r="B203" s="183" t="s">
        <v>907</v>
      </c>
      <c r="C203" s="195">
        <v>43656</v>
      </c>
      <c r="D203" s="191" t="s">
        <v>906</v>
      </c>
      <c r="E203" s="184" t="s">
        <v>518</v>
      </c>
      <c r="F203" s="196" t="s">
        <v>819</v>
      </c>
      <c r="G203" s="197" t="s">
        <v>544</v>
      </c>
      <c r="H203" s="198">
        <v>24100</v>
      </c>
      <c r="I203" s="192" t="s">
        <v>1320</v>
      </c>
      <c r="J203" s="191" t="s">
        <v>1281</v>
      </c>
      <c r="K203" s="213"/>
    </row>
    <row r="204" spans="1:11" ht="76.5" customHeight="1">
      <c r="A204" s="206">
        <v>201</v>
      </c>
      <c r="B204" s="183" t="s">
        <v>1395</v>
      </c>
      <c r="C204" s="195">
        <v>44180</v>
      </c>
      <c r="D204" s="191" t="s">
        <v>1394</v>
      </c>
      <c r="E204" s="184" t="s">
        <v>518</v>
      </c>
      <c r="F204" s="196" t="s">
        <v>1306</v>
      </c>
      <c r="G204" s="197" t="s">
        <v>544</v>
      </c>
      <c r="H204" s="198">
        <v>21300</v>
      </c>
      <c r="I204" s="192" t="s">
        <v>1321</v>
      </c>
      <c r="J204" s="191" t="s">
        <v>1281</v>
      </c>
      <c r="K204" s="213"/>
    </row>
    <row r="205" spans="1:11" ht="76.5" customHeight="1">
      <c r="A205" s="206">
        <v>202</v>
      </c>
      <c r="B205" s="183" t="s">
        <v>1399</v>
      </c>
      <c r="C205" s="195">
        <v>44202</v>
      </c>
      <c r="D205" s="191" t="s">
        <v>1400</v>
      </c>
      <c r="E205" s="184" t="s">
        <v>518</v>
      </c>
      <c r="F205" s="196" t="s">
        <v>1318</v>
      </c>
      <c r="G205" s="197" t="s">
        <v>544</v>
      </c>
      <c r="H205" s="198">
        <v>21300</v>
      </c>
      <c r="I205" s="192" t="s">
        <v>2183</v>
      </c>
      <c r="J205" s="191" t="s">
        <v>1281</v>
      </c>
      <c r="K205" s="191"/>
    </row>
    <row r="206" spans="1:11" ht="76.5" customHeight="1">
      <c r="A206" s="206">
        <v>203</v>
      </c>
      <c r="B206" s="183" t="s">
        <v>1395</v>
      </c>
      <c r="C206" s="195">
        <v>44180</v>
      </c>
      <c r="D206" s="191" t="s">
        <v>1394</v>
      </c>
      <c r="E206" s="184" t="s">
        <v>518</v>
      </c>
      <c r="F206" s="196" t="s">
        <v>1305</v>
      </c>
      <c r="G206" s="197" t="s">
        <v>544</v>
      </c>
      <c r="H206" s="198">
        <v>21300</v>
      </c>
      <c r="I206" s="192" t="s">
        <v>1674</v>
      </c>
      <c r="J206" s="191" t="s">
        <v>1281</v>
      </c>
      <c r="K206" s="213"/>
    </row>
    <row r="207" spans="1:11" s="411" customFormat="1" ht="76.5" customHeight="1">
      <c r="A207" s="206">
        <v>204</v>
      </c>
      <c r="B207" s="247" t="s">
        <v>2178</v>
      </c>
      <c r="C207" s="400">
        <v>45386</v>
      </c>
      <c r="D207" s="247" t="s">
        <v>2086</v>
      </c>
      <c r="E207" s="434" t="s">
        <v>1975</v>
      </c>
      <c r="F207" s="402" t="s">
        <v>2114</v>
      </c>
      <c r="G207" s="435" t="s">
        <v>1983</v>
      </c>
      <c r="H207" s="436">
        <v>22300</v>
      </c>
      <c r="I207" s="192" t="s">
        <v>1327</v>
      </c>
      <c r="J207" s="191" t="s">
        <v>1281</v>
      </c>
      <c r="K207" s="191"/>
    </row>
    <row r="208" spans="1:11" ht="76.5" customHeight="1">
      <c r="A208" s="206">
        <v>205</v>
      </c>
      <c r="B208" s="183" t="s">
        <v>1399</v>
      </c>
      <c r="C208" s="195">
        <v>44202</v>
      </c>
      <c r="D208" s="191" t="s">
        <v>1400</v>
      </c>
      <c r="E208" s="184" t="s">
        <v>518</v>
      </c>
      <c r="F208" s="196" t="s">
        <v>1317</v>
      </c>
      <c r="G208" s="197" t="s">
        <v>544</v>
      </c>
      <c r="H208" s="198">
        <v>21300</v>
      </c>
      <c r="I208" s="192" t="s">
        <v>1328</v>
      </c>
      <c r="J208" s="191" t="s">
        <v>1281</v>
      </c>
      <c r="K208" s="213"/>
    </row>
    <row r="209" spans="1:16" ht="76.5" customHeight="1">
      <c r="A209" s="206">
        <v>206</v>
      </c>
      <c r="B209" s="183" t="s">
        <v>1196</v>
      </c>
      <c r="C209" s="195">
        <v>43794</v>
      </c>
      <c r="D209" s="191" t="s">
        <v>1175</v>
      </c>
      <c r="E209" s="184" t="s">
        <v>518</v>
      </c>
      <c r="F209" s="196" t="s">
        <v>1171</v>
      </c>
      <c r="G209" s="197" t="s">
        <v>544</v>
      </c>
      <c r="H209" s="198">
        <v>21300</v>
      </c>
      <c r="I209" s="192" t="s">
        <v>1329</v>
      </c>
      <c r="J209" s="191" t="s">
        <v>1281</v>
      </c>
      <c r="K209" s="213"/>
    </row>
    <row r="210" spans="1:16" s="466" customFormat="1" ht="76.5" customHeight="1">
      <c r="A210" s="206">
        <v>207</v>
      </c>
      <c r="B210" s="214" t="s">
        <v>1483</v>
      </c>
      <c r="C210" s="398">
        <v>44266</v>
      </c>
      <c r="D210" s="214" t="s">
        <v>1482</v>
      </c>
      <c r="E210" s="396" t="s">
        <v>518</v>
      </c>
      <c r="F210" s="196" t="s">
        <v>1411</v>
      </c>
      <c r="G210" s="397" t="s">
        <v>1409</v>
      </c>
      <c r="H210" s="395">
        <v>21300</v>
      </c>
      <c r="I210" s="192" t="s">
        <v>1330</v>
      </c>
      <c r="J210" s="191" t="s">
        <v>1281</v>
      </c>
      <c r="K210" s="465"/>
      <c r="P210" s="199"/>
    </row>
    <row r="211" spans="1:16" ht="76.5" customHeight="1">
      <c r="A211" s="206">
        <v>208</v>
      </c>
      <c r="B211" s="183" t="s">
        <v>1208</v>
      </c>
      <c r="C211" s="195">
        <v>43826</v>
      </c>
      <c r="D211" s="191" t="s">
        <v>1206</v>
      </c>
      <c r="E211" s="184" t="s">
        <v>518</v>
      </c>
      <c r="F211" s="196" t="s">
        <v>1214</v>
      </c>
      <c r="G211" s="197" t="s">
        <v>544</v>
      </c>
      <c r="H211" s="198">
        <v>21300</v>
      </c>
      <c r="I211" s="192" t="s">
        <v>1331</v>
      </c>
      <c r="J211" s="191" t="s">
        <v>1281</v>
      </c>
      <c r="K211" s="213"/>
    </row>
    <row r="212" spans="1:16" ht="76.5" customHeight="1">
      <c r="A212" s="206">
        <v>209</v>
      </c>
      <c r="B212" s="183" t="s">
        <v>1395</v>
      </c>
      <c r="C212" s="195">
        <v>44180</v>
      </c>
      <c r="D212" s="191" t="s">
        <v>1394</v>
      </c>
      <c r="E212" s="184" t="s">
        <v>518</v>
      </c>
      <c r="F212" s="196" t="s">
        <v>1333</v>
      </c>
      <c r="G212" s="197" t="s">
        <v>544</v>
      </c>
      <c r="H212" s="198">
        <v>21300</v>
      </c>
      <c r="I212" s="192" t="s">
        <v>1345</v>
      </c>
      <c r="J212" s="191" t="s">
        <v>1281</v>
      </c>
      <c r="K212" s="213"/>
    </row>
    <row r="213" spans="1:16" ht="76.5" customHeight="1">
      <c r="A213" s="206">
        <v>210</v>
      </c>
      <c r="B213" s="183" t="s">
        <v>1395</v>
      </c>
      <c r="C213" s="195">
        <v>44180</v>
      </c>
      <c r="D213" s="191" t="s">
        <v>1394</v>
      </c>
      <c r="E213" s="184" t="s">
        <v>518</v>
      </c>
      <c r="F213" s="196" t="s">
        <v>1343</v>
      </c>
      <c r="G213" s="197" t="s">
        <v>544</v>
      </c>
      <c r="H213" s="198">
        <v>21300</v>
      </c>
      <c r="I213" s="192" t="s">
        <v>1349</v>
      </c>
      <c r="J213" s="191" t="s">
        <v>1281</v>
      </c>
      <c r="K213" s="213"/>
    </row>
    <row r="214" spans="1:16" ht="76.5" customHeight="1">
      <c r="A214" s="206">
        <v>211</v>
      </c>
      <c r="B214" s="183" t="s">
        <v>1395</v>
      </c>
      <c r="C214" s="195">
        <v>44180</v>
      </c>
      <c r="D214" s="191" t="s">
        <v>1394</v>
      </c>
      <c r="E214" s="184" t="s">
        <v>518</v>
      </c>
      <c r="F214" s="196" t="s">
        <v>1304</v>
      </c>
      <c r="G214" s="197" t="s">
        <v>544</v>
      </c>
      <c r="H214" s="198">
        <v>21300</v>
      </c>
      <c r="I214" s="192" t="s">
        <v>1323</v>
      </c>
      <c r="J214" s="191" t="s">
        <v>1281</v>
      </c>
      <c r="K214" s="213"/>
    </row>
    <row r="215" spans="1:16" ht="76.5" customHeight="1">
      <c r="A215" s="206">
        <v>212</v>
      </c>
      <c r="B215" s="183" t="s">
        <v>1395</v>
      </c>
      <c r="C215" s="195">
        <v>44180</v>
      </c>
      <c r="D215" s="191" t="s">
        <v>1394</v>
      </c>
      <c r="E215" s="184" t="s">
        <v>518</v>
      </c>
      <c r="F215" s="196" t="s">
        <v>1252</v>
      </c>
      <c r="G215" s="197" t="s">
        <v>544</v>
      </c>
      <c r="H215" s="198">
        <v>21300</v>
      </c>
      <c r="I215" s="192" t="s">
        <v>1324</v>
      </c>
      <c r="J215" s="191" t="s">
        <v>1281</v>
      </c>
      <c r="K215" s="213"/>
    </row>
    <row r="216" spans="1:16" s="411" customFormat="1" ht="76.5" customHeight="1">
      <c r="A216" s="206">
        <v>213</v>
      </c>
      <c r="B216" s="247" t="s">
        <v>2111</v>
      </c>
      <c r="C216" s="400">
        <v>45373</v>
      </c>
      <c r="D216" s="247" t="s">
        <v>2086</v>
      </c>
      <c r="E216" s="434" t="s">
        <v>1975</v>
      </c>
      <c r="F216" s="402" t="s">
        <v>2106</v>
      </c>
      <c r="G216" s="435" t="s">
        <v>1983</v>
      </c>
      <c r="H216" s="436">
        <v>22300</v>
      </c>
      <c r="I216" s="192" t="s">
        <v>1325</v>
      </c>
      <c r="J216" s="191" t="s">
        <v>1281</v>
      </c>
      <c r="K216" s="191"/>
    </row>
    <row r="217" spans="1:16" ht="76.5" customHeight="1">
      <c r="A217" s="206">
        <v>214</v>
      </c>
      <c r="B217" s="183" t="s">
        <v>1395</v>
      </c>
      <c r="C217" s="195">
        <v>44180</v>
      </c>
      <c r="D217" s="191" t="s">
        <v>1394</v>
      </c>
      <c r="E217" s="184" t="s">
        <v>518</v>
      </c>
      <c r="F217" s="196" t="s">
        <v>1303</v>
      </c>
      <c r="G217" s="197" t="s">
        <v>544</v>
      </c>
      <c r="H217" s="198">
        <v>21300</v>
      </c>
      <c r="I217" s="192" t="s">
        <v>1326</v>
      </c>
      <c r="J217" s="191" t="s">
        <v>1281</v>
      </c>
      <c r="K217" s="213"/>
    </row>
    <row r="218" spans="1:16" s="328" customFormat="1" ht="76.5" customHeight="1">
      <c r="A218" s="206">
        <v>215</v>
      </c>
      <c r="B218" s="247" t="s">
        <v>2201</v>
      </c>
      <c r="C218" s="400">
        <v>45625</v>
      </c>
      <c r="D218" s="247" t="s">
        <v>2200</v>
      </c>
      <c r="E218" s="434" t="s">
        <v>1975</v>
      </c>
      <c r="F218" s="402" t="s">
        <v>2196</v>
      </c>
      <c r="G218" s="435" t="s">
        <v>1983</v>
      </c>
      <c r="H218" s="436">
        <v>22300</v>
      </c>
      <c r="I218" s="192" t="s">
        <v>1346</v>
      </c>
      <c r="J218" s="191" t="s">
        <v>1281</v>
      </c>
      <c r="K218" s="191"/>
      <c r="L218" s="199"/>
      <c r="M218" s="199"/>
    </row>
    <row r="219" spans="1:16" ht="76.5" customHeight="1">
      <c r="A219" s="206">
        <v>216</v>
      </c>
      <c r="B219" s="183" t="s">
        <v>1395</v>
      </c>
      <c r="C219" s="195">
        <v>44180</v>
      </c>
      <c r="D219" s="191" t="s">
        <v>1394</v>
      </c>
      <c r="E219" s="184" t="s">
        <v>518</v>
      </c>
      <c r="F219" s="196" t="s">
        <v>1340</v>
      </c>
      <c r="G219" s="197" t="s">
        <v>544</v>
      </c>
      <c r="H219" s="198">
        <v>21300</v>
      </c>
      <c r="I219" s="192" t="s">
        <v>1347</v>
      </c>
      <c r="J219" s="191" t="s">
        <v>1281</v>
      </c>
      <c r="K219" s="213"/>
    </row>
    <row r="220" spans="1:16" ht="76.5" customHeight="1">
      <c r="A220" s="206">
        <v>217</v>
      </c>
      <c r="B220" s="183" t="s">
        <v>1395</v>
      </c>
      <c r="C220" s="195">
        <v>44180</v>
      </c>
      <c r="D220" s="191" t="s">
        <v>1394</v>
      </c>
      <c r="E220" s="184" t="s">
        <v>518</v>
      </c>
      <c r="F220" s="196" t="s">
        <v>1334</v>
      </c>
      <c r="G220" s="197" t="s">
        <v>544</v>
      </c>
      <c r="H220" s="198">
        <v>21300</v>
      </c>
      <c r="I220" s="192" t="s">
        <v>1348</v>
      </c>
      <c r="J220" s="191" t="s">
        <v>1281</v>
      </c>
      <c r="K220" s="213"/>
    </row>
    <row r="221" spans="1:16" ht="76.5" customHeight="1">
      <c r="A221" s="206">
        <v>218</v>
      </c>
      <c r="B221" s="183" t="s">
        <v>1395</v>
      </c>
      <c r="C221" s="195">
        <v>44180</v>
      </c>
      <c r="D221" s="191" t="s">
        <v>1394</v>
      </c>
      <c r="E221" s="184" t="s">
        <v>518</v>
      </c>
      <c r="F221" s="196" t="s">
        <v>1338</v>
      </c>
      <c r="G221" s="197" t="s">
        <v>544</v>
      </c>
      <c r="H221" s="198">
        <v>21300</v>
      </c>
      <c r="I221" s="192" t="s">
        <v>1355</v>
      </c>
      <c r="J221" s="191" t="s">
        <v>1281</v>
      </c>
      <c r="K221" s="213"/>
    </row>
    <row r="222" spans="1:16" ht="76.5" customHeight="1">
      <c r="A222" s="206">
        <v>219</v>
      </c>
      <c r="B222" s="211" t="s">
        <v>542</v>
      </c>
      <c r="C222" s="195">
        <v>43465</v>
      </c>
      <c r="D222" s="191" t="s">
        <v>543</v>
      </c>
      <c r="E222" s="184" t="s">
        <v>518</v>
      </c>
      <c r="F222" s="196" t="s">
        <v>519</v>
      </c>
      <c r="G222" s="197" t="s">
        <v>544</v>
      </c>
      <c r="H222" s="198">
        <v>24100</v>
      </c>
      <c r="I222" s="192" t="s">
        <v>2186</v>
      </c>
      <c r="J222" s="191" t="s">
        <v>1165</v>
      </c>
      <c r="K222" s="213"/>
    </row>
    <row r="223" spans="1:16" ht="76.5" customHeight="1">
      <c r="A223" s="206">
        <v>220</v>
      </c>
      <c r="B223" s="183" t="s">
        <v>542</v>
      </c>
      <c r="C223" s="195">
        <v>43465</v>
      </c>
      <c r="D223" s="191" t="s">
        <v>543</v>
      </c>
      <c r="E223" s="184" t="s">
        <v>518</v>
      </c>
      <c r="F223" s="196" t="s">
        <v>531</v>
      </c>
      <c r="G223" s="197" t="s">
        <v>544</v>
      </c>
      <c r="H223" s="198">
        <v>24100</v>
      </c>
      <c r="I223" s="192" t="s">
        <v>1448</v>
      </c>
      <c r="J223" s="191" t="s">
        <v>1188</v>
      </c>
      <c r="K223" s="213"/>
    </row>
    <row r="224" spans="1:16" ht="76.5" customHeight="1">
      <c r="A224" s="206">
        <v>221</v>
      </c>
      <c r="B224" s="211" t="s">
        <v>542</v>
      </c>
      <c r="C224" s="195">
        <v>43465</v>
      </c>
      <c r="D224" s="191" t="s">
        <v>543</v>
      </c>
      <c r="E224" s="184" t="s">
        <v>518</v>
      </c>
      <c r="F224" s="204" t="s">
        <v>529</v>
      </c>
      <c r="G224" s="197" t="s">
        <v>544</v>
      </c>
      <c r="H224" s="198">
        <v>24100</v>
      </c>
      <c r="I224" s="192" t="s">
        <v>1696</v>
      </c>
      <c r="J224" s="191" t="s">
        <v>1188</v>
      </c>
      <c r="K224" s="213"/>
    </row>
    <row r="225" spans="1:13" ht="76.5" customHeight="1">
      <c r="A225" s="206">
        <v>222</v>
      </c>
      <c r="B225" s="183" t="s">
        <v>1399</v>
      </c>
      <c r="C225" s="195">
        <v>44202</v>
      </c>
      <c r="D225" s="191" t="s">
        <v>1400</v>
      </c>
      <c r="E225" s="184" t="s">
        <v>518</v>
      </c>
      <c r="F225" s="196" t="s">
        <v>1362</v>
      </c>
      <c r="G225" s="197" t="s">
        <v>544</v>
      </c>
      <c r="H225" s="198">
        <v>21300</v>
      </c>
      <c r="I225" s="192" t="s">
        <v>1662</v>
      </c>
      <c r="J225" s="183" t="s">
        <v>1188</v>
      </c>
      <c r="K225" s="213"/>
    </row>
    <row r="226" spans="1:13" ht="76.5" customHeight="1">
      <c r="A226" s="206">
        <v>223</v>
      </c>
      <c r="B226" s="183" t="s">
        <v>1429</v>
      </c>
      <c r="C226" s="195">
        <v>44265</v>
      </c>
      <c r="D226" s="191" t="s">
        <v>1418</v>
      </c>
      <c r="E226" s="184" t="s">
        <v>518</v>
      </c>
      <c r="F226" s="196" t="s">
        <v>1423</v>
      </c>
      <c r="G226" s="197" t="s">
        <v>1430</v>
      </c>
      <c r="H226" s="198">
        <v>14500</v>
      </c>
      <c r="I226" s="192" t="s">
        <v>2188</v>
      </c>
      <c r="J226" s="183" t="s">
        <v>1188</v>
      </c>
      <c r="K226" s="213"/>
    </row>
    <row r="227" spans="1:13" ht="76.5" customHeight="1">
      <c r="A227" s="206">
        <v>224</v>
      </c>
      <c r="B227" s="183" t="s">
        <v>542</v>
      </c>
      <c r="C227" s="195">
        <v>43465</v>
      </c>
      <c r="D227" s="191" t="s">
        <v>543</v>
      </c>
      <c r="E227" s="184" t="s">
        <v>518</v>
      </c>
      <c r="F227" s="196" t="s">
        <v>524</v>
      </c>
      <c r="G227" s="197" t="s">
        <v>544</v>
      </c>
      <c r="H227" s="198">
        <v>24100</v>
      </c>
      <c r="I227" s="192" t="s">
        <v>2189</v>
      </c>
      <c r="J227" s="183" t="s">
        <v>1188</v>
      </c>
      <c r="K227" s="213"/>
    </row>
    <row r="228" spans="1:13" ht="76.5" customHeight="1">
      <c r="A228" s="206">
        <v>225</v>
      </c>
      <c r="B228" s="183" t="s">
        <v>1158</v>
      </c>
      <c r="C228" s="195">
        <v>43760</v>
      </c>
      <c r="D228" s="191" t="s">
        <v>1159</v>
      </c>
      <c r="E228" s="184" t="s">
        <v>518</v>
      </c>
      <c r="F228" s="196" t="s">
        <v>1148</v>
      </c>
      <c r="G228" s="197" t="s">
        <v>544</v>
      </c>
      <c r="H228" s="198">
        <v>21300</v>
      </c>
      <c r="I228" s="192" t="s">
        <v>1735</v>
      </c>
      <c r="J228" s="183" t="s">
        <v>1188</v>
      </c>
      <c r="K228" s="213"/>
    </row>
    <row r="229" spans="1:13" ht="76.5" customHeight="1">
      <c r="A229" s="206">
        <v>226</v>
      </c>
      <c r="B229" s="183" t="s">
        <v>1158</v>
      </c>
      <c r="C229" s="195">
        <v>43760</v>
      </c>
      <c r="D229" s="191" t="s">
        <v>1159</v>
      </c>
      <c r="E229" s="184" t="s">
        <v>518</v>
      </c>
      <c r="F229" s="196" t="s">
        <v>1144</v>
      </c>
      <c r="G229" s="197" t="s">
        <v>544</v>
      </c>
      <c r="H229" s="198">
        <v>21300</v>
      </c>
      <c r="I229" s="192" t="s">
        <v>1917</v>
      </c>
      <c r="J229" s="183" t="s">
        <v>1188</v>
      </c>
      <c r="K229" s="213"/>
    </row>
    <row r="230" spans="1:13" ht="76.5" customHeight="1">
      <c r="A230" s="206">
        <v>227</v>
      </c>
      <c r="B230" s="183" t="s">
        <v>1481</v>
      </c>
      <c r="C230" s="195">
        <v>44316</v>
      </c>
      <c r="D230" s="191" t="s">
        <v>1480</v>
      </c>
      <c r="E230" s="184" t="s">
        <v>518</v>
      </c>
      <c r="F230" s="196" t="s">
        <v>1444</v>
      </c>
      <c r="G230" s="197" t="s">
        <v>1430</v>
      </c>
      <c r="H230" s="215">
        <v>14500</v>
      </c>
      <c r="I230" s="192" t="s">
        <v>1916</v>
      </c>
      <c r="J230" s="183" t="s">
        <v>1188</v>
      </c>
      <c r="K230" s="213"/>
    </row>
    <row r="231" spans="1:13" ht="76.5" customHeight="1">
      <c r="A231" s="206">
        <v>228</v>
      </c>
      <c r="B231" s="183" t="s">
        <v>1197</v>
      </c>
      <c r="C231" s="195">
        <v>43794</v>
      </c>
      <c r="D231" s="191" t="s">
        <v>1187</v>
      </c>
      <c r="E231" s="184" t="s">
        <v>518</v>
      </c>
      <c r="F231" s="196" t="s">
        <v>1182</v>
      </c>
      <c r="G231" s="197" t="s">
        <v>544</v>
      </c>
      <c r="H231" s="198">
        <v>21300</v>
      </c>
      <c r="I231" s="192" t="s">
        <v>2190</v>
      </c>
      <c r="J231" s="183" t="s">
        <v>1188</v>
      </c>
      <c r="K231" s="213"/>
    </row>
    <row r="232" spans="1:13" ht="76.5" customHeight="1">
      <c r="A232" s="206">
        <v>229</v>
      </c>
      <c r="B232" s="214" t="s">
        <v>1736</v>
      </c>
      <c r="C232" s="195">
        <v>44785</v>
      </c>
      <c r="D232" s="214" t="s">
        <v>1700</v>
      </c>
      <c r="E232" s="184" t="s">
        <v>1552</v>
      </c>
      <c r="F232" s="196" t="s">
        <v>1703</v>
      </c>
      <c r="G232" s="326" t="s">
        <v>1554</v>
      </c>
      <c r="H232" s="198">
        <v>22300</v>
      </c>
      <c r="I232" s="192" t="s">
        <v>2216</v>
      </c>
      <c r="J232" s="191" t="s">
        <v>2217</v>
      </c>
      <c r="K232" s="213"/>
    </row>
    <row r="233" spans="1:13" ht="76.5" customHeight="1">
      <c r="A233" s="206">
        <v>230</v>
      </c>
      <c r="B233" s="183" t="s">
        <v>1208</v>
      </c>
      <c r="C233" s="195">
        <v>43826</v>
      </c>
      <c r="D233" s="191" t="s">
        <v>1206</v>
      </c>
      <c r="E233" s="184" t="s">
        <v>518</v>
      </c>
      <c r="F233" s="196" t="s">
        <v>1210</v>
      </c>
      <c r="G233" s="197" t="s">
        <v>544</v>
      </c>
      <c r="H233" s="198">
        <v>21300</v>
      </c>
      <c r="I233" s="192" t="s">
        <v>2218</v>
      </c>
      <c r="J233" s="191" t="s">
        <v>2217</v>
      </c>
      <c r="K233" s="213"/>
    </row>
    <row r="234" spans="1:13" s="328" customFormat="1" ht="76.5" customHeight="1">
      <c r="A234" s="206">
        <v>231</v>
      </c>
      <c r="B234" s="247" t="s">
        <v>2201</v>
      </c>
      <c r="C234" s="400">
        <v>45625</v>
      </c>
      <c r="D234" s="247" t="s">
        <v>2200</v>
      </c>
      <c r="E234" s="434" t="s">
        <v>1975</v>
      </c>
      <c r="F234" s="402" t="s">
        <v>2195</v>
      </c>
      <c r="G234" s="435" t="s">
        <v>1983</v>
      </c>
      <c r="H234" s="436">
        <v>22300</v>
      </c>
      <c r="I234" s="192" t="s">
        <v>2246</v>
      </c>
      <c r="J234" s="191" t="s">
        <v>2217</v>
      </c>
      <c r="K234" s="213"/>
      <c r="L234" s="199"/>
      <c r="M234" s="199"/>
    </row>
    <row r="235" spans="1:13" ht="76.5" customHeight="1">
      <c r="A235" s="206">
        <v>232</v>
      </c>
      <c r="B235" s="183" t="s">
        <v>1229</v>
      </c>
      <c r="C235" s="195">
        <v>43830</v>
      </c>
      <c r="D235" s="191" t="s">
        <v>1230</v>
      </c>
      <c r="E235" s="184" t="s">
        <v>518</v>
      </c>
      <c r="F235" s="196" t="s">
        <v>1218</v>
      </c>
      <c r="G235" s="197" t="s">
        <v>544</v>
      </c>
      <c r="H235" s="198">
        <v>21300</v>
      </c>
      <c r="I235" s="192" t="s">
        <v>2247</v>
      </c>
      <c r="J235" s="191" t="s">
        <v>2217</v>
      </c>
      <c r="K235" s="213"/>
    </row>
    <row r="236" spans="1:13" ht="76.5" customHeight="1">
      <c r="A236" s="206">
        <v>233</v>
      </c>
      <c r="B236" s="183" t="s">
        <v>1231</v>
      </c>
      <c r="C236" s="195">
        <v>43837</v>
      </c>
      <c r="D236" s="191" t="s">
        <v>1232</v>
      </c>
      <c r="E236" s="184" t="s">
        <v>518</v>
      </c>
      <c r="F236" s="196" t="s">
        <v>1223</v>
      </c>
      <c r="G236" s="197" t="s">
        <v>544</v>
      </c>
      <c r="H236" s="198">
        <v>21300</v>
      </c>
      <c r="I236" s="192" t="s">
        <v>2138</v>
      </c>
      <c r="J236" s="191" t="s">
        <v>2137</v>
      </c>
      <c r="K236" s="213"/>
    </row>
    <row r="237" spans="1:13" s="411" customFormat="1" ht="76.5" customHeight="1">
      <c r="A237" s="206">
        <v>234</v>
      </c>
      <c r="B237" s="247" t="s">
        <v>2178</v>
      </c>
      <c r="C237" s="400">
        <v>45386</v>
      </c>
      <c r="D237" s="247" t="s">
        <v>2086</v>
      </c>
      <c r="E237" s="434" t="s">
        <v>1975</v>
      </c>
      <c r="F237" s="402" t="s">
        <v>2115</v>
      </c>
      <c r="G237" s="435" t="s">
        <v>1983</v>
      </c>
      <c r="H237" s="436">
        <v>22300</v>
      </c>
      <c r="I237" s="192" t="s">
        <v>2139</v>
      </c>
      <c r="J237" s="191" t="s">
        <v>2137</v>
      </c>
      <c r="K237" s="191"/>
    </row>
    <row r="238" spans="1:13" ht="76.5" customHeight="1">
      <c r="A238" s="206">
        <v>235</v>
      </c>
      <c r="B238" s="214" t="s">
        <v>1736</v>
      </c>
      <c r="C238" s="195">
        <v>44785</v>
      </c>
      <c r="D238" s="214" t="s">
        <v>1700</v>
      </c>
      <c r="E238" s="184" t="s">
        <v>1552</v>
      </c>
      <c r="F238" s="196" t="s">
        <v>1701</v>
      </c>
      <c r="G238" s="326" t="s">
        <v>1554</v>
      </c>
      <c r="H238" s="198">
        <v>22300</v>
      </c>
      <c r="I238" s="192" t="s">
        <v>2140</v>
      </c>
      <c r="J238" s="191" t="s">
        <v>2137</v>
      </c>
      <c r="K238" s="213"/>
    </row>
    <row r="239" spans="1:13" s="411" customFormat="1" ht="76.5" customHeight="1">
      <c r="A239" s="206">
        <v>236</v>
      </c>
      <c r="B239" s="247" t="s">
        <v>2179</v>
      </c>
      <c r="C239" s="400">
        <v>45391</v>
      </c>
      <c r="D239" s="247" t="s">
        <v>2086</v>
      </c>
      <c r="E239" s="434" t="s">
        <v>1975</v>
      </c>
      <c r="F239" s="402" t="s">
        <v>2119</v>
      </c>
      <c r="G239" s="435" t="s">
        <v>1983</v>
      </c>
      <c r="H239" s="436">
        <v>22300</v>
      </c>
      <c r="I239" s="192" t="s">
        <v>2141</v>
      </c>
      <c r="J239" s="191" t="s">
        <v>2137</v>
      </c>
      <c r="K239" s="191"/>
    </row>
    <row r="240" spans="1:13" s="411" customFormat="1" ht="76.5" customHeight="1">
      <c r="A240" s="206">
        <v>237</v>
      </c>
      <c r="B240" s="247" t="s">
        <v>2179</v>
      </c>
      <c r="C240" s="400">
        <v>45391</v>
      </c>
      <c r="D240" s="247" t="s">
        <v>2086</v>
      </c>
      <c r="E240" s="434" t="s">
        <v>1975</v>
      </c>
      <c r="F240" s="402" t="s">
        <v>2121</v>
      </c>
      <c r="G240" s="435" t="s">
        <v>1983</v>
      </c>
      <c r="H240" s="436">
        <v>22301</v>
      </c>
      <c r="I240" s="192" t="s">
        <v>2171</v>
      </c>
      <c r="J240" s="191" t="s">
        <v>2137</v>
      </c>
      <c r="K240" s="191"/>
    </row>
    <row r="241" spans="1:17" s="411" customFormat="1" ht="76.5" customHeight="1">
      <c r="A241" s="206">
        <v>238</v>
      </c>
      <c r="B241" s="247" t="s">
        <v>2026</v>
      </c>
      <c r="C241" s="400">
        <v>45237</v>
      </c>
      <c r="D241" s="247" t="s">
        <v>1974</v>
      </c>
      <c r="E241" s="434" t="s">
        <v>1975</v>
      </c>
      <c r="F241" s="402" t="s">
        <v>2018</v>
      </c>
      <c r="G241" s="435" t="s">
        <v>1983</v>
      </c>
      <c r="H241" s="436">
        <v>22300</v>
      </c>
      <c r="I241" s="192" t="s">
        <v>2144</v>
      </c>
      <c r="J241" s="191" t="s">
        <v>2145</v>
      </c>
      <c r="K241" s="213"/>
    </row>
    <row r="242" spans="1:17" s="411" customFormat="1" ht="76.5" customHeight="1">
      <c r="A242" s="206">
        <v>239</v>
      </c>
      <c r="B242" s="247" t="s">
        <v>2026</v>
      </c>
      <c r="C242" s="400">
        <v>45237</v>
      </c>
      <c r="D242" s="247" t="s">
        <v>1974</v>
      </c>
      <c r="E242" s="434" t="s">
        <v>1975</v>
      </c>
      <c r="F242" s="402" t="s">
        <v>2021</v>
      </c>
      <c r="G242" s="435" t="s">
        <v>1983</v>
      </c>
      <c r="H242" s="436">
        <v>22300</v>
      </c>
      <c r="I242" s="192" t="s">
        <v>2146</v>
      </c>
      <c r="J242" s="191" t="s">
        <v>2145</v>
      </c>
      <c r="K242" s="213"/>
    </row>
    <row r="243" spans="1:17" ht="76.5" customHeight="1">
      <c r="A243" s="206">
        <v>240</v>
      </c>
      <c r="B243" s="183" t="s">
        <v>1438</v>
      </c>
      <c r="C243" s="195">
        <v>44280</v>
      </c>
      <c r="D243" s="191" t="s">
        <v>1439</v>
      </c>
      <c r="E243" s="184" t="s">
        <v>518</v>
      </c>
      <c r="F243" s="196" t="s">
        <v>1437</v>
      </c>
      <c r="G243" s="197" t="s">
        <v>1430</v>
      </c>
      <c r="H243" s="215">
        <v>14500</v>
      </c>
      <c r="I243" s="192" t="s">
        <v>2147</v>
      </c>
      <c r="J243" s="191" t="s">
        <v>2145</v>
      </c>
      <c r="K243" s="213"/>
    </row>
    <row r="244" spans="1:17" ht="76.5" customHeight="1">
      <c r="A244" s="206">
        <v>241</v>
      </c>
      <c r="B244" s="183" t="s">
        <v>1231</v>
      </c>
      <c r="C244" s="195">
        <v>43837</v>
      </c>
      <c r="D244" s="191" t="s">
        <v>1232</v>
      </c>
      <c r="E244" s="184" t="s">
        <v>518</v>
      </c>
      <c r="F244" s="196" t="s">
        <v>1221</v>
      </c>
      <c r="G244" s="197" t="s">
        <v>544</v>
      </c>
      <c r="H244" s="198">
        <v>21300</v>
      </c>
      <c r="I244" s="192" t="s">
        <v>2148</v>
      </c>
      <c r="J244" s="191" t="s">
        <v>2145</v>
      </c>
      <c r="K244" s="213"/>
    </row>
    <row r="245" spans="1:17" ht="76.5" customHeight="1">
      <c r="A245" s="206">
        <v>242</v>
      </c>
      <c r="B245" s="183" t="s">
        <v>1399</v>
      </c>
      <c r="C245" s="195">
        <v>44202</v>
      </c>
      <c r="D245" s="191" t="s">
        <v>1400</v>
      </c>
      <c r="E245" s="184" t="s">
        <v>518</v>
      </c>
      <c r="F245" s="196" t="s">
        <v>1367</v>
      </c>
      <c r="G245" s="197" t="s">
        <v>544</v>
      </c>
      <c r="H245" s="198">
        <v>21500</v>
      </c>
      <c r="I245" s="192" t="s">
        <v>2208</v>
      </c>
      <c r="J245" s="191" t="s">
        <v>2207</v>
      </c>
      <c r="K245" s="213"/>
      <c r="O245" s="1"/>
      <c r="P245" s="1"/>
      <c r="Q245" s="1"/>
    </row>
    <row r="246" spans="1:17" ht="76.5" customHeight="1">
      <c r="A246" s="206">
        <v>243</v>
      </c>
      <c r="B246" s="211" t="s">
        <v>542</v>
      </c>
      <c r="C246" s="195">
        <v>43465</v>
      </c>
      <c r="D246" s="191" t="s">
        <v>543</v>
      </c>
      <c r="E246" s="184" t="s">
        <v>518</v>
      </c>
      <c r="F246" s="204" t="s">
        <v>538</v>
      </c>
      <c r="G246" s="197" t="s">
        <v>544</v>
      </c>
      <c r="H246" s="198">
        <v>24100</v>
      </c>
      <c r="I246" s="192" t="s">
        <v>2209</v>
      </c>
      <c r="J246" s="191" t="s">
        <v>2207</v>
      </c>
      <c r="K246" s="213"/>
    </row>
    <row r="247" spans="1:17" ht="76.5" customHeight="1">
      <c r="A247" s="206">
        <v>244</v>
      </c>
      <c r="B247" s="211" t="s">
        <v>1982</v>
      </c>
      <c r="C247" s="195">
        <v>45219</v>
      </c>
      <c r="D247" s="191" t="s">
        <v>1974</v>
      </c>
      <c r="E247" s="184" t="s">
        <v>1850</v>
      </c>
      <c r="F247" s="204" t="s">
        <v>1993</v>
      </c>
      <c r="G247" s="197" t="s">
        <v>1984</v>
      </c>
      <c r="H247" s="198">
        <v>16500</v>
      </c>
      <c r="I247" s="192" t="s">
        <v>2212</v>
      </c>
      <c r="J247" s="191" t="s">
        <v>2207</v>
      </c>
      <c r="K247" s="213"/>
    </row>
    <row r="248" spans="1:17" ht="76.5" customHeight="1">
      <c r="A248" s="206">
        <v>245</v>
      </c>
      <c r="B248" s="211" t="s">
        <v>1982</v>
      </c>
      <c r="C248" s="195">
        <v>45219</v>
      </c>
      <c r="D248" s="191" t="s">
        <v>1974</v>
      </c>
      <c r="E248" s="184" t="s">
        <v>1850</v>
      </c>
      <c r="F248" s="204" t="s">
        <v>1989</v>
      </c>
      <c r="G248" s="197" t="s">
        <v>1984</v>
      </c>
      <c r="H248" s="198">
        <v>16500</v>
      </c>
      <c r="I248" s="192" t="s">
        <v>2213</v>
      </c>
      <c r="J248" s="191" t="s">
        <v>2207</v>
      </c>
      <c r="K248" s="213"/>
    </row>
    <row r="249" spans="1:17" s="411" customFormat="1" ht="76.5" customHeight="1">
      <c r="A249" s="206">
        <v>246</v>
      </c>
      <c r="B249" s="247" t="s">
        <v>2026</v>
      </c>
      <c r="C249" s="400">
        <v>45237</v>
      </c>
      <c r="D249" s="247" t="s">
        <v>1974</v>
      </c>
      <c r="E249" s="434" t="s">
        <v>1975</v>
      </c>
      <c r="F249" s="402" t="s">
        <v>2022</v>
      </c>
      <c r="G249" s="435" t="s">
        <v>1983</v>
      </c>
      <c r="H249" s="436">
        <v>22300</v>
      </c>
      <c r="I249" s="192" t="s">
        <v>2080</v>
      </c>
      <c r="J249" s="191" t="s">
        <v>2074</v>
      </c>
      <c r="K249" s="213"/>
    </row>
    <row r="250" spans="1:17" ht="76.5" customHeight="1">
      <c r="A250" s="206">
        <v>247</v>
      </c>
      <c r="B250" s="183" t="s">
        <v>1399</v>
      </c>
      <c r="C250" s="195">
        <v>44202</v>
      </c>
      <c r="D250" s="191" t="s">
        <v>1400</v>
      </c>
      <c r="E250" s="184" t="s">
        <v>518</v>
      </c>
      <c r="F250" s="196" t="s">
        <v>1361</v>
      </c>
      <c r="G250" s="197" t="s">
        <v>544</v>
      </c>
      <c r="H250" s="198">
        <v>21300</v>
      </c>
      <c r="I250" s="192" t="s">
        <v>2081</v>
      </c>
      <c r="J250" s="191" t="s">
        <v>2074</v>
      </c>
      <c r="K250" s="213"/>
    </row>
    <row r="251" spans="1:17" ht="76.5" customHeight="1">
      <c r="A251" s="206">
        <v>248</v>
      </c>
      <c r="B251" s="214" t="s">
        <v>1854</v>
      </c>
      <c r="C251" s="398">
        <v>44953</v>
      </c>
      <c r="D251" s="214" t="s">
        <v>1849</v>
      </c>
      <c r="E251" s="396" t="s">
        <v>1850</v>
      </c>
      <c r="F251" s="196" t="s">
        <v>1858</v>
      </c>
      <c r="G251" s="397" t="s">
        <v>1852</v>
      </c>
      <c r="H251" s="395">
        <v>16500</v>
      </c>
      <c r="I251" s="192" t="s">
        <v>1954</v>
      </c>
      <c r="J251" s="206" t="s">
        <v>1845</v>
      </c>
      <c r="K251" s="213"/>
    </row>
    <row r="252" spans="1:17" ht="76.5" customHeight="1">
      <c r="A252" s="206">
        <v>249</v>
      </c>
      <c r="B252" s="183" t="s">
        <v>287</v>
      </c>
      <c r="C252" s="195" t="s">
        <v>288</v>
      </c>
      <c r="D252" s="202" t="s">
        <v>289</v>
      </c>
      <c r="E252" s="184" t="s">
        <v>41</v>
      </c>
      <c r="F252" s="204">
        <v>103169</v>
      </c>
      <c r="G252" s="197" t="s">
        <v>541</v>
      </c>
      <c r="H252" s="198">
        <v>22575</v>
      </c>
      <c r="I252" s="192" t="s">
        <v>1940</v>
      </c>
      <c r="J252" s="191" t="s">
        <v>1845</v>
      </c>
      <c r="K252" s="213"/>
    </row>
    <row r="253" spans="1:17" ht="76.5" customHeight="1">
      <c r="A253" s="206">
        <v>250</v>
      </c>
      <c r="B253" s="183" t="s">
        <v>290</v>
      </c>
      <c r="C253" s="195">
        <v>41093</v>
      </c>
      <c r="D253" s="191" t="s">
        <v>291</v>
      </c>
      <c r="E253" s="184" t="s">
        <v>39</v>
      </c>
      <c r="F253" s="196" t="s">
        <v>64</v>
      </c>
      <c r="G253" s="197" t="s">
        <v>547</v>
      </c>
      <c r="H253" s="198">
        <v>26250</v>
      </c>
      <c r="I253" s="192" t="s">
        <v>1803</v>
      </c>
      <c r="J253" s="191" t="s">
        <v>1705</v>
      </c>
      <c r="K253" s="213"/>
    </row>
    <row r="254" spans="1:17" ht="76.5" customHeight="1">
      <c r="A254" s="206">
        <v>251</v>
      </c>
      <c r="B254" s="211" t="s">
        <v>278</v>
      </c>
      <c r="C254" s="195">
        <v>39818</v>
      </c>
      <c r="D254" s="191" t="s">
        <v>279</v>
      </c>
      <c r="E254" s="184" t="s">
        <v>52</v>
      </c>
      <c r="F254" s="196" t="s">
        <v>131</v>
      </c>
      <c r="G254" s="197" t="s">
        <v>541</v>
      </c>
      <c r="H254" s="198">
        <v>21500</v>
      </c>
      <c r="I254" s="192" t="s">
        <v>1804</v>
      </c>
      <c r="J254" s="191" t="s">
        <v>1705</v>
      </c>
      <c r="K254" s="213"/>
    </row>
    <row r="255" spans="1:17" ht="76.5" customHeight="1">
      <c r="A255" s="206">
        <v>252</v>
      </c>
      <c r="B255" s="195" t="s">
        <v>332</v>
      </c>
      <c r="C255" s="195">
        <v>41360</v>
      </c>
      <c r="D255" s="191" t="s">
        <v>333</v>
      </c>
      <c r="E255" s="184" t="s">
        <v>112</v>
      </c>
      <c r="F255" s="196" t="s">
        <v>117</v>
      </c>
      <c r="G255" s="197" t="s">
        <v>334</v>
      </c>
      <c r="H255" s="207">
        <v>20000</v>
      </c>
      <c r="I255" s="192" t="s">
        <v>1805</v>
      </c>
      <c r="J255" s="191" t="s">
        <v>1705</v>
      </c>
      <c r="K255" s="213"/>
    </row>
    <row r="256" spans="1:17" s="99" customFormat="1" ht="76.5" customHeight="1">
      <c r="A256" s="206">
        <v>253</v>
      </c>
      <c r="B256" s="183" t="s">
        <v>270</v>
      </c>
      <c r="C256" s="195">
        <v>39737</v>
      </c>
      <c r="D256" s="191" t="s">
        <v>271</v>
      </c>
      <c r="E256" s="184" t="s">
        <v>52</v>
      </c>
      <c r="F256" s="196" t="s">
        <v>98</v>
      </c>
      <c r="G256" s="197" t="s">
        <v>541</v>
      </c>
      <c r="H256" s="198">
        <v>21500</v>
      </c>
      <c r="I256" s="192" t="s">
        <v>1809</v>
      </c>
      <c r="J256" s="191" t="s">
        <v>1705</v>
      </c>
      <c r="K256" s="213"/>
      <c r="L256" s="199"/>
      <c r="M256" s="199"/>
      <c r="O256" s="199"/>
    </row>
    <row r="257" spans="1:11" ht="76.5" customHeight="1">
      <c r="A257" s="206">
        <v>254</v>
      </c>
      <c r="B257" s="195" t="s">
        <v>332</v>
      </c>
      <c r="C257" s="195">
        <v>41360</v>
      </c>
      <c r="D257" s="191" t="s">
        <v>333</v>
      </c>
      <c r="E257" s="184" t="s">
        <v>112</v>
      </c>
      <c r="F257" s="196" t="s">
        <v>126</v>
      </c>
      <c r="G257" s="197" t="s">
        <v>334</v>
      </c>
      <c r="H257" s="207">
        <v>20000</v>
      </c>
      <c r="I257" s="192" t="s">
        <v>1810</v>
      </c>
      <c r="J257" s="191" t="s">
        <v>1705</v>
      </c>
      <c r="K257" s="213"/>
    </row>
    <row r="258" spans="1:11" ht="76.5" customHeight="1">
      <c r="A258" s="206">
        <v>255</v>
      </c>
      <c r="B258" s="183" t="s">
        <v>330</v>
      </c>
      <c r="C258" s="195">
        <v>40939</v>
      </c>
      <c r="D258" s="191" t="s">
        <v>331</v>
      </c>
      <c r="E258" s="184" t="s">
        <v>39</v>
      </c>
      <c r="F258" s="204">
        <v>101374</v>
      </c>
      <c r="G258" s="197" t="s">
        <v>547</v>
      </c>
      <c r="H258" s="198">
        <v>26250</v>
      </c>
      <c r="I258" s="192" t="s">
        <v>1808</v>
      </c>
      <c r="J258" s="191" t="s">
        <v>1705</v>
      </c>
      <c r="K258" s="213"/>
    </row>
    <row r="259" spans="1:11" ht="76.5" customHeight="1">
      <c r="A259" s="206">
        <v>256</v>
      </c>
      <c r="B259" s="183" t="s">
        <v>1196</v>
      </c>
      <c r="C259" s="195">
        <v>43794</v>
      </c>
      <c r="D259" s="191" t="s">
        <v>1175</v>
      </c>
      <c r="E259" s="184" t="s">
        <v>518</v>
      </c>
      <c r="F259" s="196" t="s">
        <v>1173</v>
      </c>
      <c r="G259" s="197" t="s">
        <v>544</v>
      </c>
      <c r="H259" s="198">
        <v>21300</v>
      </c>
      <c r="I259" s="192" t="s">
        <v>1440</v>
      </c>
      <c r="J259" s="191" t="s">
        <v>1397</v>
      </c>
      <c r="K259" s="213"/>
    </row>
    <row r="260" spans="1:11" ht="76.5" customHeight="1">
      <c r="A260" s="206">
        <v>257</v>
      </c>
      <c r="B260" s="183" t="s">
        <v>1039</v>
      </c>
      <c r="C260" s="195">
        <v>43661</v>
      </c>
      <c r="D260" s="191" t="s">
        <v>906</v>
      </c>
      <c r="E260" s="184" t="s">
        <v>518</v>
      </c>
      <c r="F260" s="196" t="s">
        <v>859</v>
      </c>
      <c r="G260" s="197" t="s">
        <v>544</v>
      </c>
      <c r="H260" s="198">
        <v>24100</v>
      </c>
      <c r="I260" s="192" t="s">
        <v>1392</v>
      </c>
      <c r="J260" s="191" t="s">
        <v>1397</v>
      </c>
      <c r="K260" s="213"/>
    </row>
    <row r="261" spans="1:11" ht="76.5" customHeight="1">
      <c r="A261" s="206">
        <v>258</v>
      </c>
      <c r="B261" s="211" t="s">
        <v>542</v>
      </c>
      <c r="C261" s="195">
        <v>43465</v>
      </c>
      <c r="D261" s="191" t="s">
        <v>543</v>
      </c>
      <c r="E261" s="184" t="s">
        <v>518</v>
      </c>
      <c r="F261" s="204" t="s">
        <v>530</v>
      </c>
      <c r="G261" s="197" t="s">
        <v>544</v>
      </c>
      <c r="H261" s="198">
        <v>24100</v>
      </c>
      <c r="I261" s="192" t="s">
        <v>1393</v>
      </c>
      <c r="J261" s="191" t="s">
        <v>1397</v>
      </c>
      <c r="K261" s="206" t="s">
        <v>2293</v>
      </c>
    </row>
    <row r="262" spans="1:11" ht="76.5" customHeight="1">
      <c r="A262" s="206">
        <v>259</v>
      </c>
      <c r="B262" s="183" t="s">
        <v>324</v>
      </c>
      <c r="C262" s="195">
        <v>40899</v>
      </c>
      <c r="D262" s="191" t="s">
        <v>325</v>
      </c>
      <c r="E262" s="184" t="s">
        <v>39</v>
      </c>
      <c r="F262" s="196" t="s">
        <v>51</v>
      </c>
      <c r="G262" s="197" t="s">
        <v>547</v>
      </c>
      <c r="H262" s="198">
        <v>26250</v>
      </c>
      <c r="I262" s="192" t="s">
        <v>2076</v>
      </c>
      <c r="J262" s="191" t="s">
        <v>2075</v>
      </c>
      <c r="K262" s="213"/>
    </row>
    <row r="263" spans="1:11" ht="76.5" customHeight="1">
      <c r="A263" s="206">
        <v>260</v>
      </c>
      <c r="B263" s="183" t="s">
        <v>314</v>
      </c>
      <c r="C263" s="183" t="s">
        <v>315</v>
      </c>
      <c r="D263" s="183" t="s">
        <v>289</v>
      </c>
      <c r="E263" s="184" t="s">
        <v>52</v>
      </c>
      <c r="F263" s="196" t="s">
        <v>166</v>
      </c>
      <c r="G263" s="197" t="s">
        <v>541</v>
      </c>
      <c r="H263" s="198">
        <v>22575</v>
      </c>
      <c r="I263" s="192" t="s">
        <v>2077</v>
      </c>
      <c r="J263" s="191" t="s">
        <v>2075</v>
      </c>
      <c r="K263" s="213"/>
    </row>
    <row r="264" spans="1:11" ht="76.5" customHeight="1">
      <c r="A264" s="206">
        <v>261</v>
      </c>
      <c r="B264" s="211" t="s">
        <v>305</v>
      </c>
      <c r="C264" s="195">
        <v>39570</v>
      </c>
      <c r="D264" s="191" t="s">
        <v>306</v>
      </c>
      <c r="E264" s="184" t="s">
        <v>41</v>
      </c>
      <c r="F264" s="469" t="s">
        <v>74</v>
      </c>
      <c r="G264" s="197" t="s">
        <v>546</v>
      </c>
      <c r="H264" s="198">
        <v>21500</v>
      </c>
      <c r="I264" s="192" t="s">
        <v>2078</v>
      </c>
      <c r="J264" s="191" t="s">
        <v>2075</v>
      </c>
      <c r="K264" s="213"/>
    </row>
    <row r="265" spans="1:11" ht="76.5" customHeight="1">
      <c r="A265" s="206">
        <v>262</v>
      </c>
      <c r="B265" s="183" t="s">
        <v>285</v>
      </c>
      <c r="C265" s="195">
        <v>39615</v>
      </c>
      <c r="D265" s="191" t="s">
        <v>286</v>
      </c>
      <c r="E265" s="184" t="s">
        <v>52</v>
      </c>
      <c r="F265" s="196">
        <v>101751</v>
      </c>
      <c r="G265" s="197" t="s">
        <v>541</v>
      </c>
      <c r="H265" s="198">
        <v>21500</v>
      </c>
      <c r="I265" s="192" t="s">
        <v>2079</v>
      </c>
      <c r="J265" s="191" t="s">
        <v>2075</v>
      </c>
      <c r="K265" s="213"/>
    </row>
    <row r="266" spans="1:11" ht="76.5" customHeight="1">
      <c r="A266" s="206">
        <v>263</v>
      </c>
      <c r="B266" s="211" t="s">
        <v>307</v>
      </c>
      <c r="C266" s="195">
        <v>41277</v>
      </c>
      <c r="D266" s="183" t="s">
        <v>308</v>
      </c>
      <c r="E266" s="184" t="s">
        <v>39</v>
      </c>
      <c r="F266" s="196" t="s">
        <v>105</v>
      </c>
      <c r="G266" s="197" t="s">
        <v>547</v>
      </c>
      <c r="H266" s="198">
        <v>26250</v>
      </c>
      <c r="I266" s="192" t="s">
        <v>1479</v>
      </c>
      <c r="J266" s="191" t="s">
        <v>1479</v>
      </c>
      <c r="K266" s="213"/>
    </row>
    <row r="267" spans="1:11" ht="76.5" customHeight="1">
      <c r="A267" s="206">
        <v>264</v>
      </c>
      <c r="B267" s="211" t="s">
        <v>342</v>
      </c>
      <c r="C267" s="195">
        <v>41243</v>
      </c>
      <c r="D267" s="191" t="s">
        <v>343</v>
      </c>
      <c r="E267" s="184" t="s">
        <v>39</v>
      </c>
      <c r="F267" s="196" t="s">
        <v>111</v>
      </c>
      <c r="G267" s="197" t="s">
        <v>335</v>
      </c>
      <c r="H267" s="207">
        <v>23500</v>
      </c>
      <c r="I267" s="192" t="s">
        <v>1479</v>
      </c>
      <c r="J267" s="191" t="s">
        <v>1479</v>
      </c>
      <c r="K267" s="213"/>
    </row>
    <row r="268" spans="1:11" ht="76.5" customHeight="1">
      <c r="A268" s="206">
        <v>265</v>
      </c>
      <c r="B268" s="195" t="s">
        <v>332</v>
      </c>
      <c r="C268" s="195">
        <v>41360</v>
      </c>
      <c r="D268" s="183" t="s">
        <v>333</v>
      </c>
      <c r="E268" s="184" t="s">
        <v>39</v>
      </c>
      <c r="F268" s="204">
        <v>102288</v>
      </c>
      <c r="G268" s="197" t="s">
        <v>335</v>
      </c>
      <c r="H268" s="207">
        <v>20000</v>
      </c>
      <c r="I268" s="192" t="s">
        <v>1479</v>
      </c>
      <c r="J268" s="191" t="s">
        <v>1479</v>
      </c>
      <c r="K268" s="213"/>
    </row>
  </sheetData>
  <mergeCells count="1">
    <mergeCell ref="A1:I1"/>
  </mergeCells>
  <phoneticPr fontId="33" type="noConversion"/>
  <printOptions horizontalCentered="1"/>
  <pageMargins left="0" right="0" top="0.25" bottom="0.25" header="0.25" footer="0.25"/>
  <pageSetup paperSize="9" scale="10" orientation="portrait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00B050"/>
    <pageSetUpPr fitToPage="1"/>
  </sheetPr>
  <dimension ref="A1:Q110"/>
  <sheetViews>
    <sheetView zoomScaleNormal="100" zoomScaleSheetLayoutView="70" workbookViewId="0">
      <selection activeCell="I20" sqref="I20"/>
    </sheetView>
  </sheetViews>
  <sheetFormatPr defaultColWidth="8.7109375" defaultRowHeight="19.899999999999999" customHeight="1"/>
  <cols>
    <col min="1" max="1" width="6.140625" style="9" bestFit="1" customWidth="1"/>
    <col min="2" max="2" width="15.7109375" style="21" customWidth="1"/>
    <col min="3" max="3" width="19.28515625" style="1" bestFit="1" customWidth="1"/>
    <col min="4" max="4" width="11.28515625" style="9" bestFit="1" customWidth="1"/>
    <col min="5" max="5" width="30.7109375" style="21" customWidth="1"/>
    <col min="6" max="6" width="10.5703125" style="1" bestFit="1" customWidth="1"/>
    <col min="7" max="7" width="55.5703125" style="1" hidden="1" customWidth="1"/>
    <col min="8" max="8" width="15.85546875" style="1" hidden="1" customWidth="1"/>
    <col min="9" max="9" width="42.85546875" style="1" bestFit="1" customWidth="1"/>
    <col min="10" max="10" width="11.5703125" style="1" customWidth="1"/>
    <col min="11" max="11" width="13.140625" style="1" customWidth="1"/>
    <col min="12" max="12" width="5" style="1" customWidth="1"/>
    <col min="13" max="13" width="19.7109375" style="1" bestFit="1" customWidth="1"/>
    <col min="14" max="14" width="10" style="1" bestFit="1" customWidth="1"/>
    <col min="15" max="15" width="8.7109375" style="1"/>
    <col min="16" max="16" width="11.42578125" style="1" bestFit="1" customWidth="1"/>
    <col min="17" max="17" width="12.140625" style="1" bestFit="1" customWidth="1"/>
    <col min="18" max="16384" width="8.7109375" style="1"/>
  </cols>
  <sheetData>
    <row r="1" spans="1:5" customFormat="1" ht="19.899999999999999" customHeight="1">
      <c r="A1" s="12" t="s">
        <v>256</v>
      </c>
      <c r="B1" s="25"/>
      <c r="C1" s="12"/>
      <c r="D1" s="12"/>
      <c r="E1" s="28"/>
    </row>
    <row r="2" spans="1:5" s="21" customFormat="1" ht="31.5">
      <c r="A2" s="19" t="s">
        <v>261</v>
      </c>
      <c r="B2" s="20" t="s">
        <v>216</v>
      </c>
      <c r="C2" s="20" t="s">
        <v>0</v>
      </c>
      <c r="D2" s="19" t="s">
        <v>1</v>
      </c>
      <c r="E2" s="19" t="s">
        <v>5</v>
      </c>
    </row>
    <row r="3" spans="1:5" ht="19.899999999999999" customHeight="1">
      <c r="A3" s="3">
        <v>1</v>
      </c>
      <c r="B3" s="26" t="s">
        <v>218</v>
      </c>
      <c r="C3" s="4" t="s">
        <v>7</v>
      </c>
      <c r="D3" s="5" t="s">
        <v>8</v>
      </c>
      <c r="E3" s="26" t="s">
        <v>11</v>
      </c>
    </row>
    <row r="4" spans="1:5" ht="25.5">
      <c r="A4" s="39">
        <v>2</v>
      </c>
      <c r="B4" s="40" t="s">
        <v>219</v>
      </c>
      <c r="C4" s="41" t="s">
        <v>12</v>
      </c>
      <c r="D4" s="42" t="s">
        <v>13</v>
      </c>
      <c r="E4" s="40" t="s">
        <v>14</v>
      </c>
    </row>
    <row r="5" spans="1:5" ht="25.5">
      <c r="A5" s="39">
        <v>3</v>
      </c>
      <c r="B5" s="40" t="s">
        <v>220</v>
      </c>
      <c r="C5" s="41" t="s">
        <v>26</v>
      </c>
      <c r="D5" s="42" t="s">
        <v>29</v>
      </c>
      <c r="E5" s="40" t="s">
        <v>30</v>
      </c>
    </row>
    <row r="6" spans="1:5" ht="25.5">
      <c r="A6" s="39">
        <v>4</v>
      </c>
      <c r="B6" s="40" t="s">
        <v>217</v>
      </c>
      <c r="C6" s="41" t="s">
        <v>221</v>
      </c>
      <c r="D6" s="42" t="s">
        <v>222</v>
      </c>
      <c r="E6" s="40" t="s">
        <v>223</v>
      </c>
    </row>
    <row r="7" spans="1:5" ht="19.899999999999999" customHeight="1">
      <c r="A7" s="3">
        <v>5</v>
      </c>
      <c r="B7" s="26" t="s">
        <v>217</v>
      </c>
      <c r="C7" s="4" t="s">
        <v>55</v>
      </c>
      <c r="D7" s="5" t="s">
        <v>56</v>
      </c>
      <c r="E7" s="26" t="s">
        <v>58</v>
      </c>
    </row>
    <row r="8" spans="1:5" ht="19.899999999999999" customHeight="1">
      <c r="A8" s="3">
        <v>6</v>
      </c>
      <c r="B8" s="26" t="s">
        <v>217</v>
      </c>
      <c r="C8" s="4" t="s">
        <v>55</v>
      </c>
      <c r="D8" s="5" t="s">
        <v>57</v>
      </c>
      <c r="E8" s="26" t="s">
        <v>58</v>
      </c>
    </row>
    <row r="9" spans="1:5" ht="19.899999999999999" customHeight="1">
      <c r="A9" s="3">
        <v>7</v>
      </c>
      <c r="B9" s="26" t="s">
        <v>217</v>
      </c>
      <c r="C9" s="4" t="s">
        <v>55</v>
      </c>
      <c r="D9" s="5" t="s">
        <v>59</v>
      </c>
      <c r="E9" s="26" t="s">
        <v>60</v>
      </c>
    </row>
    <row r="10" spans="1:5" ht="25.5">
      <c r="A10" s="3">
        <v>8</v>
      </c>
      <c r="B10" s="26" t="s">
        <v>217</v>
      </c>
      <c r="C10" s="4" t="s">
        <v>55</v>
      </c>
      <c r="D10" s="5" t="s">
        <v>61</v>
      </c>
      <c r="E10" s="26" t="s">
        <v>62</v>
      </c>
    </row>
    <row r="11" spans="1:5" ht="19.899999999999999" customHeight="1">
      <c r="A11" s="3">
        <v>9</v>
      </c>
      <c r="B11" s="26" t="s">
        <v>217</v>
      </c>
      <c r="C11" s="4" t="s">
        <v>41</v>
      </c>
      <c r="D11" s="5" t="s">
        <v>78</v>
      </c>
      <c r="E11" s="26" t="s">
        <v>79</v>
      </c>
    </row>
    <row r="12" spans="1:5" ht="19.899999999999999" customHeight="1">
      <c r="A12" s="39">
        <v>10</v>
      </c>
      <c r="B12" s="40" t="s">
        <v>217</v>
      </c>
      <c r="C12" s="41" t="s">
        <v>112</v>
      </c>
      <c r="D12" s="42" t="s">
        <v>113</v>
      </c>
      <c r="E12" s="40" t="s">
        <v>32</v>
      </c>
    </row>
    <row r="13" spans="1:5" ht="19.899999999999999" customHeight="1">
      <c r="A13" s="39">
        <v>11</v>
      </c>
      <c r="B13" s="40" t="s">
        <v>217</v>
      </c>
      <c r="C13" s="41" t="s">
        <v>112</v>
      </c>
      <c r="D13" s="42" t="s">
        <v>119</v>
      </c>
      <c r="E13" s="40" t="s">
        <v>32</v>
      </c>
    </row>
    <row r="14" spans="1:5" ht="19.899999999999999" customHeight="1">
      <c r="A14" s="39">
        <v>12</v>
      </c>
      <c r="B14" s="40" t="s">
        <v>217</v>
      </c>
      <c r="C14" s="41" t="s">
        <v>168</v>
      </c>
      <c r="D14" s="42" t="s">
        <v>169</v>
      </c>
      <c r="E14" s="40" t="s">
        <v>32</v>
      </c>
    </row>
    <row r="15" spans="1:5" ht="19.899999999999999" customHeight="1">
      <c r="A15" s="39">
        <v>13</v>
      </c>
      <c r="B15" s="40" t="s">
        <v>217</v>
      </c>
      <c r="C15" s="41" t="s">
        <v>170</v>
      </c>
      <c r="D15" s="42" t="s">
        <v>171</v>
      </c>
      <c r="E15" s="40" t="s">
        <v>32</v>
      </c>
    </row>
    <row r="16" spans="1:5" ht="19.899999999999999" customHeight="1">
      <c r="A16" s="3">
        <v>14</v>
      </c>
      <c r="B16" s="26" t="s">
        <v>217</v>
      </c>
      <c r="C16" s="4" t="s">
        <v>172</v>
      </c>
      <c r="D16" s="5" t="s">
        <v>173</v>
      </c>
      <c r="E16" s="26" t="s">
        <v>175</v>
      </c>
    </row>
    <row r="17" spans="1:5" ht="19.899999999999999" customHeight="1">
      <c r="A17" s="3">
        <v>15</v>
      </c>
      <c r="B17" s="26" t="s">
        <v>217</v>
      </c>
      <c r="C17" s="4" t="s">
        <v>176</v>
      </c>
      <c r="D17" s="5" t="s">
        <v>177</v>
      </c>
      <c r="E17" s="26" t="s">
        <v>178</v>
      </c>
    </row>
    <row r="18" spans="1:5" ht="19.899999999999999" customHeight="1">
      <c r="A18" s="3">
        <v>16</v>
      </c>
      <c r="B18" s="26" t="s">
        <v>217</v>
      </c>
      <c r="C18" s="4" t="s">
        <v>176</v>
      </c>
      <c r="D18" s="5" t="s">
        <v>179</v>
      </c>
      <c r="E18" s="26" t="s">
        <v>11</v>
      </c>
    </row>
    <row r="19" spans="1:5" ht="19.899999999999999" customHeight="1">
      <c r="A19" s="3">
        <v>17</v>
      </c>
      <c r="B19" s="26" t="s">
        <v>217</v>
      </c>
      <c r="C19" s="4" t="s">
        <v>172</v>
      </c>
      <c r="D19" s="5" t="s">
        <v>180</v>
      </c>
      <c r="E19" s="26" t="s">
        <v>175</v>
      </c>
    </row>
    <row r="20" spans="1:5" ht="25.5">
      <c r="A20" s="39">
        <v>18</v>
      </c>
      <c r="B20" s="40" t="s">
        <v>217</v>
      </c>
      <c r="C20" s="41" t="s">
        <v>210</v>
      </c>
      <c r="D20" s="42" t="s">
        <v>211</v>
      </c>
      <c r="E20" s="40" t="s">
        <v>223</v>
      </c>
    </row>
    <row r="21" spans="1:5" ht="19.899999999999999" customHeight="1">
      <c r="A21" s="3">
        <v>19</v>
      </c>
      <c r="B21" s="26" t="s">
        <v>217</v>
      </c>
      <c r="C21" s="4" t="s">
        <v>181</v>
      </c>
      <c r="D21" s="5" t="s">
        <v>182</v>
      </c>
      <c r="E21" s="26" t="s">
        <v>183</v>
      </c>
    </row>
    <row r="22" spans="1:5" ht="19.899999999999999" customHeight="1">
      <c r="A22" s="3">
        <v>20</v>
      </c>
      <c r="B22" s="26" t="s">
        <v>217</v>
      </c>
      <c r="C22" s="4" t="s">
        <v>184</v>
      </c>
      <c r="D22" s="5" t="s">
        <v>185</v>
      </c>
      <c r="E22" s="26" t="s">
        <v>224</v>
      </c>
    </row>
    <row r="23" spans="1:5" ht="19.899999999999999" customHeight="1">
      <c r="A23" s="3">
        <v>21</v>
      </c>
      <c r="B23" s="26" t="s">
        <v>217</v>
      </c>
      <c r="C23" s="4" t="s">
        <v>186</v>
      </c>
      <c r="D23" s="5" t="s">
        <v>187</v>
      </c>
      <c r="E23" s="26" t="s">
        <v>224</v>
      </c>
    </row>
    <row r="24" spans="1:5" ht="19.899999999999999" customHeight="1">
      <c r="A24" s="3">
        <v>22</v>
      </c>
      <c r="B24" s="26" t="s">
        <v>217</v>
      </c>
      <c r="C24" s="4" t="s">
        <v>188</v>
      </c>
      <c r="D24" s="5" t="s">
        <v>189</v>
      </c>
      <c r="E24" s="26" t="s">
        <v>190</v>
      </c>
    </row>
    <row r="25" spans="1:5" ht="19.899999999999999" customHeight="1">
      <c r="A25" s="39">
        <v>23</v>
      </c>
      <c r="B25" s="40" t="s">
        <v>217</v>
      </c>
      <c r="C25" s="41" t="s">
        <v>191</v>
      </c>
      <c r="D25" s="42" t="s">
        <v>193</v>
      </c>
      <c r="E25" s="40" t="s">
        <v>32</v>
      </c>
    </row>
    <row r="26" spans="1:5" ht="25.5">
      <c r="A26" s="39">
        <v>24</v>
      </c>
      <c r="B26" s="40" t="s">
        <v>219</v>
      </c>
      <c r="C26" s="41" t="s">
        <v>228</v>
      </c>
      <c r="D26" s="42" t="s">
        <v>229</v>
      </c>
      <c r="E26" s="40" t="s">
        <v>232</v>
      </c>
    </row>
    <row r="27" spans="1:5" ht="19.899999999999999" customHeight="1">
      <c r="A27" s="3">
        <v>25</v>
      </c>
      <c r="B27" s="26" t="s">
        <v>217</v>
      </c>
      <c r="C27" s="4" t="s">
        <v>230</v>
      </c>
      <c r="D27" s="5" t="s">
        <v>231</v>
      </c>
      <c r="E27" s="29" t="s">
        <v>224</v>
      </c>
    </row>
    <row r="28" spans="1:5" ht="25.5">
      <c r="A28" s="39">
        <v>26</v>
      </c>
      <c r="B28" s="40" t="s">
        <v>219</v>
      </c>
      <c r="C28" s="41" t="s">
        <v>12</v>
      </c>
      <c r="D28" s="42" t="s">
        <v>15</v>
      </c>
      <c r="E28" s="40" t="s">
        <v>353</v>
      </c>
    </row>
    <row r="29" spans="1:5" ht="12.75">
      <c r="A29" s="39">
        <v>27</v>
      </c>
      <c r="B29" s="40" t="s">
        <v>220</v>
      </c>
      <c r="C29" s="41" t="s">
        <v>18</v>
      </c>
      <c r="D29" s="42" t="s">
        <v>19</v>
      </c>
      <c r="E29" s="40" t="s">
        <v>32</v>
      </c>
    </row>
    <row r="30" spans="1:5" ht="19.899999999999999" customHeight="1">
      <c r="A30" s="3">
        <v>28</v>
      </c>
      <c r="B30" s="26" t="s">
        <v>220</v>
      </c>
      <c r="C30" s="4" t="s">
        <v>24</v>
      </c>
      <c r="D30" s="5" t="s">
        <v>25</v>
      </c>
      <c r="E30" s="29" t="s">
        <v>17</v>
      </c>
    </row>
    <row r="31" spans="1:5" ht="19.899999999999999" customHeight="1">
      <c r="A31" s="3">
        <v>29</v>
      </c>
      <c r="B31" s="26" t="s">
        <v>220</v>
      </c>
      <c r="C31" s="4" t="s">
        <v>26</v>
      </c>
      <c r="D31" s="5" t="s">
        <v>27</v>
      </c>
      <c r="E31" s="29" t="s">
        <v>17</v>
      </c>
    </row>
    <row r="32" spans="1:5" ht="19.899999999999999" customHeight="1">
      <c r="A32" s="3">
        <v>30</v>
      </c>
      <c r="B32" s="26" t="s">
        <v>217</v>
      </c>
      <c r="C32" s="4" t="s">
        <v>172</v>
      </c>
      <c r="D32" s="5" t="s">
        <v>249</v>
      </c>
      <c r="E32" s="29" t="s">
        <v>250</v>
      </c>
    </row>
    <row r="33" spans="1:5" ht="19.899999999999999" customHeight="1">
      <c r="A33" s="3">
        <v>31</v>
      </c>
      <c r="B33" s="26" t="s">
        <v>217</v>
      </c>
      <c r="C33" s="4" t="s">
        <v>172</v>
      </c>
      <c r="D33" s="5" t="s">
        <v>180</v>
      </c>
      <c r="E33" s="29" t="s">
        <v>250</v>
      </c>
    </row>
    <row r="34" spans="1:5" ht="19.899999999999999" customHeight="1">
      <c r="A34" s="3">
        <v>32</v>
      </c>
      <c r="B34" s="26" t="s">
        <v>217</v>
      </c>
      <c r="C34" s="4" t="s">
        <v>172</v>
      </c>
      <c r="D34" s="5" t="s">
        <v>173</v>
      </c>
      <c r="E34" s="29" t="s">
        <v>250</v>
      </c>
    </row>
    <row r="35" spans="1:5" ht="19.899999999999999" customHeight="1">
      <c r="A35" s="3">
        <v>33</v>
      </c>
      <c r="B35" s="26" t="s">
        <v>217</v>
      </c>
      <c r="C35" s="4" t="s">
        <v>172</v>
      </c>
      <c r="D35" s="5" t="s">
        <v>251</v>
      </c>
      <c r="E35" s="29" t="s">
        <v>250</v>
      </c>
    </row>
    <row r="36" spans="1:5" ht="19.899999999999999" customHeight="1">
      <c r="A36" s="3">
        <v>34</v>
      </c>
      <c r="B36" s="26" t="s">
        <v>217</v>
      </c>
      <c r="C36" s="4" t="s">
        <v>172</v>
      </c>
      <c r="D36" s="5" t="s">
        <v>252</v>
      </c>
      <c r="E36" s="29" t="s">
        <v>250</v>
      </c>
    </row>
    <row r="37" spans="1:5" ht="19.899999999999999" customHeight="1">
      <c r="A37" s="3">
        <v>35</v>
      </c>
      <c r="B37" s="26" t="s">
        <v>217</v>
      </c>
      <c r="C37" s="4" t="s">
        <v>172</v>
      </c>
      <c r="D37" s="5" t="s">
        <v>253</v>
      </c>
      <c r="E37" s="29" t="s">
        <v>250</v>
      </c>
    </row>
    <row r="38" spans="1:5" ht="19.899999999999999" customHeight="1">
      <c r="A38" s="3">
        <v>36</v>
      </c>
      <c r="B38" s="26" t="s">
        <v>217</v>
      </c>
      <c r="C38" s="4" t="s">
        <v>172</v>
      </c>
      <c r="D38" s="5" t="s">
        <v>254</v>
      </c>
      <c r="E38" s="29" t="s">
        <v>250</v>
      </c>
    </row>
    <row r="39" spans="1:5" ht="19.899999999999999" customHeight="1">
      <c r="A39" s="3">
        <v>37</v>
      </c>
      <c r="B39" s="26" t="s">
        <v>217</v>
      </c>
      <c r="C39" s="4" t="s">
        <v>172</v>
      </c>
      <c r="D39" s="5" t="s">
        <v>255</v>
      </c>
      <c r="E39" s="29" t="s">
        <v>250</v>
      </c>
    </row>
    <row r="40" spans="1:5" customFormat="1" ht="38.25">
      <c r="A40" s="31">
        <v>38</v>
      </c>
      <c r="B40" s="32" t="s">
        <v>217</v>
      </c>
      <c r="C40" s="33" t="s">
        <v>225</v>
      </c>
      <c r="D40" s="34" t="s">
        <v>226</v>
      </c>
      <c r="E40" s="32" t="s">
        <v>259</v>
      </c>
    </row>
    <row r="41" spans="1:5" ht="25.5">
      <c r="A41" s="39">
        <v>39</v>
      </c>
      <c r="B41" s="40" t="s">
        <v>217</v>
      </c>
      <c r="C41" s="41" t="s">
        <v>225</v>
      </c>
      <c r="D41" s="42" t="s">
        <v>260</v>
      </c>
      <c r="E41" s="43" t="s">
        <v>265</v>
      </c>
    </row>
    <row r="42" spans="1:5" ht="19.899999999999999" customHeight="1">
      <c r="A42" s="3">
        <v>40</v>
      </c>
      <c r="B42" s="26" t="s">
        <v>217</v>
      </c>
      <c r="C42" s="4" t="s">
        <v>41</v>
      </c>
      <c r="D42" s="5" t="s">
        <v>42</v>
      </c>
      <c r="E42" s="68" t="s">
        <v>539</v>
      </c>
    </row>
    <row r="43" spans="1:5" ht="19.899999999999999" customHeight="1">
      <c r="A43" s="3">
        <v>41</v>
      </c>
      <c r="B43" s="26" t="s">
        <v>217</v>
      </c>
      <c r="C43" s="4" t="s">
        <v>41</v>
      </c>
      <c r="D43" s="5" t="s">
        <v>44</v>
      </c>
      <c r="E43" s="68" t="s">
        <v>539</v>
      </c>
    </row>
    <row r="44" spans="1:5" ht="19.899999999999999" customHeight="1">
      <c r="A44" s="3">
        <v>42</v>
      </c>
      <c r="B44" s="26" t="s">
        <v>217</v>
      </c>
      <c r="C44" s="4" t="s">
        <v>52</v>
      </c>
      <c r="D44" s="5" t="s">
        <v>90</v>
      </c>
      <c r="E44" s="68" t="s">
        <v>539</v>
      </c>
    </row>
    <row r="45" spans="1:5" ht="19.899999999999999" customHeight="1">
      <c r="A45" s="3">
        <v>43</v>
      </c>
      <c r="B45" s="26" t="s">
        <v>217</v>
      </c>
      <c r="C45" s="4" t="s">
        <v>41</v>
      </c>
      <c r="D45" s="5" t="s">
        <v>45</v>
      </c>
      <c r="E45" s="68" t="s">
        <v>539</v>
      </c>
    </row>
    <row r="46" spans="1:5" ht="19.899999999999999" customHeight="1">
      <c r="A46" s="3">
        <v>44</v>
      </c>
      <c r="B46" s="26" t="s">
        <v>217</v>
      </c>
      <c r="C46" s="4" t="s">
        <v>41</v>
      </c>
      <c r="D46" s="5" t="s">
        <v>70</v>
      </c>
      <c r="E46" s="68" t="s">
        <v>539</v>
      </c>
    </row>
    <row r="47" spans="1:5" ht="19.899999999999999" customHeight="1">
      <c r="A47" s="3">
        <v>45</v>
      </c>
      <c r="B47" s="26" t="s">
        <v>217</v>
      </c>
      <c r="C47" s="4" t="s">
        <v>52</v>
      </c>
      <c r="D47" s="5" t="s">
        <v>99</v>
      </c>
      <c r="E47" s="68" t="s">
        <v>539</v>
      </c>
    </row>
    <row r="48" spans="1:5" ht="19.899999999999999" customHeight="1">
      <c r="A48" s="3">
        <v>46</v>
      </c>
      <c r="B48" s="26" t="s">
        <v>217</v>
      </c>
      <c r="C48" s="4" t="s">
        <v>41</v>
      </c>
      <c r="D48" s="5">
        <v>101101</v>
      </c>
      <c r="E48" s="68" t="s">
        <v>539</v>
      </c>
    </row>
    <row r="49" spans="1:8" ht="19.899999999999999" customHeight="1">
      <c r="A49" s="3">
        <v>47</v>
      </c>
      <c r="B49" s="26" t="s">
        <v>217</v>
      </c>
      <c r="C49" s="4" t="s">
        <v>41</v>
      </c>
      <c r="D49" s="5">
        <v>101551</v>
      </c>
      <c r="E49" s="68" t="s">
        <v>539</v>
      </c>
    </row>
    <row r="50" spans="1:8" ht="19.899999999999999" customHeight="1">
      <c r="A50" s="3">
        <v>48</v>
      </c>
      <c r="B50" s="26" t="s">
        <v>217</v>
      </c>
      <c r="C50" s="4" t="s">
        <v>52</v>
      </c>
      <c r="D50" s="5">
        <v>101105</v>
      </c>
      <c r="E50" s="68" t="s">
        <v>539</v>
      </c>
    </row>
    <row r="51" spans="1:8" ht="19.899999999999999" customHeight="1">
      <c r="A51" s="3">
        <v>49</v>
      </c>
      <c r="B51" s="26" t="s">
        <v>217</v>
      </c>
      <c r="C51" s="4" t="s">
        <v>52</v>
      </c>
      <c r="D51" s="5">
        <v>101303</v>
      </c>
      <c r="E51" s="68" t="s">
        <v>539</v>
      </c>
    </row>
    <row r="52" spans="1:8" ht="19.899999999999999" customHeight="1">
      <c r="A52" s="3">
        <v>50</v>
      </c>
      <c r="B52" s="26" t="s">
        <v>217</v>
      </c>
      <c r="C52" s="4" t="s">
        <v>52</v>
      </c>
      <c r="D52" s="5" t="s">
        <v>129</v>
      </c>
      <c r="E52" s="68" t="s">
        <v>539</v>
      </c>
    </row>
    <row r="53" spans="1:8" ht="19.899999999999999" customHeight="1">
      <c r="A53" s="3">
        <v>51</v>
      </c>
      <c r="B53" s="26" t="s">
        <v>217</v>
      </c>
      <c r="C53" s="4" t="s">
        <v>52</v>
      </c>
      <c r="D53" s="5">
        <v>102293</v>
      </c>
      <c r="E53" s="68" t="s">
        <v>539</v>
      </c>
    </row>
    <row r="54" spans="1:8" ht="19.899999999999999" customHeight="1">
      <c r="A54" s="3">
        <v>52</v>
      </c>
      <c r="B54" s="26" t="s">
        <v>217</v>
      </c>
      <c r="C54" s="4" t="s">
        <v>52</v>
      </c>
      <c r="D54" s="5" t="s">
        <v>157</v>
      </c>
      <c r="E54" s="68" t="s">
        <v>539</v>
      </c>
    </row>
    <row r="55" spans="1:8" s="73" customFormat="1" ht="60" customHeight="1">
      <c r="A55" s="3">
        <v>53</v>
      </c>
      <c r="B55" s="173" t="s">
        <v>278</v>
      </c>
      <c r="C55" s="167">
        <v>39818</v>
      </c>
      <c r="D55" s="176" t="s">
        <v>279</v>
      </c>
      <c r="E55" s="169" t="s">
        <v>52</v>
      </c>
      <c r="F55" s="174">
        <v>102284</v>
      </c>
      <c r="G55" s="171" t="s">
        <v>541</v>
      </c>
      <c r="H55" s="172">
        <v>21500</v>
      </c>
    </row>
    <row r="56" spans="1:8" customFormat="1" ht="19.899999999999999" customHeight="1">
      <c r="A56" s="11"/>
      <c r="B56" s="27"/>
      <c r="C56" s="2"/>
      <c r="D56" s="13"/>
      <c r="E56" s="27"/>
    </row>
    <row r="57" spans="1:8" customFormat="1" ht="19.899999999999999" customHeight="1">
      <c r="A57" s="11"/>
      <c r="B57" s="27"/>
      <c r="C57" s="2"/>
      <c r="D57" s="13"/>
      <c r="E57" s="27"/>
    </row>
    <row r="58" spans="1:8" customFormat="1" ht="19.899999999999999" customHeight="1">
      <c r="A58" s="12" t="s">
        <v>264</v>
      </c>
      <c r="B58" s="25"/>
      <c r="C58" s="12"/>
      <c r="D58" s="12"/>
      <c r="E58" s="30">
        <v>43109</v>
      </c>
    </row>
    <row r="59" spans="1:8" s="24" customFormat="1" ht="31.5">
      <c r="A59" s="22" t="s">
        <v>261</v>
      </c>
      <c r="B59" s="23" t="s">
        <v>216</v>
      </c>
      <c r="C59" s="23" t="s">
        <v>0</v>
      </c>
      <c r="D59" s="22" t="s">
        <v>1</v>
      </c>
      <c r="E59" s="22" t="s">
        <v>5</v>
      </c>
    </row>
    <row r="60" spans="1:8" ht="25.5">
      <c r="A60" s="35">
        <v>1</v>
      </c>
      <c r="B60" s="36" t="s">
        <v>217</v>
      </c>
      <c r="C60" s="37" t="s">
        <v>225</v>
      </c>
      <c r="D60" s="38" t="s">
        <v>262</v>
      </c>
      <c r="E60" s="36" t="s">
        <v>263</v>
      </c>
    </row>
    <row r="61" spans="1:8" ht="25.5">
      <c r="A61" s="35">
        <v>2</v>
      </c>
      <c r="B61" s="36" t="s">
        <v>217</v>
      </c>
      <c r="C61" s="37" t="s">
        <v>257</v>
      </c>
      <c r="D61" s="38" t="s">
        <v>258</v>
      </c>
      <c r="E61" s="36" t="s">
        <v>266</v>
      </c>
    </row>
    <row r="62" spans="1:8" ht="25.5">
      <c r="A62" s="35">
        <v>3</v>
      </c>
      <c r="B62" s="36" t="s">
        <v>217</v>
      </c>
      <c r="C62" s="37" t="s">
        <v>257</v>
      </c>
      <c r="D62" s="38" t="s">
        <v>417</v>
      </c>
      <c r="E62" s="36" t="s">
        <v>418</v>
      </c>
    </row>
    <row r="63" spans="1:8" ht="25.5">
      <c r="A63" s="35">
        <v>4</v>
      </c>
      <c r="B63" s="36" t="s">
        <v>217</v>
      </c>
      <c r="C63" s="37" t="s">
        <v>257</v>
      </c>
      <c r="D63" s="38" t="s">
        <v>258</v>
      </c>
      <c r="E63" s="66" t="s">
        <v>419</v>
      </c>
    </row>
    <row r="64" spans="1:8" ht="25.5">
      <c r="A64" s="35">
        <v>5</v>
      </c>
      <c r="B64" s="36" t="s">
        <v>217</v>
      </c>
      <c r="C64" s="37" t="s">
        <v>257</v>
      </c>
      <c r="D64" s="38" t="s">
        <v>258</v>
      </c>
      <c r="E64" s="66" t="s">
        <v>420</v>
      </c>
    </row>
    <row r="65" spans="1:17" ht="25.5">
      <c r="A65" s="35">
        <v>6</v>
      </c>
      <c r="B65" s="36" t="s">
        <v>217</v>
      </c>
      <c r="C65" s="37" t="s">
        <v>257</v>
      </c>
      <c r="D65" s="38" t="s">
        <v>258</v>
      </c>
      <c r="E65" s="66" t="s">
        <v>445</v>
      </c>
    </row>
    <row r="66" spans="1:17" ht="63.75">
      <c r="A66" s="35">
        <v>7</v>
      </c>
      <c r="B66" s="36" t="s">
        <v>217</v>
      </c>
      <c r="C66" s="37" t="s">
        <v>421</v>
      </c>
      <c r="D66" s="38" t="s">
        <v>422</v>
      </c>
      <c r="E66" s="66" t="s">
        <v>446</v>
      </c>
    </row>
    <row r="67" spans="1:17" ht="25.5">
      <c r="A67" s="35">
        <v>8</v>
      </c>
      <c r="B67" s="36" t="s">
        <v>217</v>
      </c>
      <c r="C67" s="37" t="s">
        <v>257</v>
      </c>
      <c r="D67" s="38" t="s">
        <v>448</v>
      </c>
      <c r="E67" s="66" t="s">
        <v>447</v>
      </c>
    </row>
    <row r="68" spans="1:17" ht="25.5">
      <c r="A68" s="35">
        <v>9</v>
      </c>
      <c r="B68" s="36" t="s">
        <v>217</v>
      </c>
      <c r="C68" s="37" t="s">
        <v>421</v>
      </c>
      <c r="D68" s="38" t="s">
        <v>449</v>
      </c>
      <c r="E68" s="66" t="s">
        <v>450</v>
      </c>
    </row>
    <row r="69" spans="1:17" ht="25.5">
      <c r="A69" s="35">
        <v>10</v>
      </c>
      <c r="B69" s="36" t="s">
        <v>217</v>
      </c>
      <c r="C69" s="37" t="s">
        <v>421</v>
      </c>
      <c r="D69" s="38" t="s">
        <v>422</v>
      </c>
      <c r="E69" s="194" t="s">
        <v>453</v>
      </c>
    </row>
    <row r="70" spans="1:17" ht="38.25">
      <c r="A70" s="35">
        <v>11</v>
      </c>
      <c r="B70" s="36" t="s">
        <v>217</v>
      </c>
      <c r="C70" s="37" t="s">
        <v>421</v>
      </c>
      <c r="D70" s="38" t="s">
        <v>424</v>
      </c>
      <c r="E70" s="194" t="s">
        <v>1391</v>
      </c>
    </row>
    <row r="71" spans="1:17" ht="25.5">
      <c r="A71" s="35">
        <v>12</v>
      </c>
      <c r="B71" s="36" t="s">
        <v>217</v>
      </c>
      <c r="C71" s="37" t="s">
        <v>421</v>
      </c>
      <c r="D71" s="38" t="s">
        <v>423</v>
      </c>
      <c r="E71" s="194" t="s">
        <v>1390</v>
      </c>
    </row>
    <row r="72" spans="1:17" ht="51">
      <c r="A72" s="35">
        <v>13</v>
      </c>
      <c r="B72" s="36" t="s">
        <v>217</v>
      </c>
      <c r="C72" s="37" t="s">
        <v>421</v>
      </c>
      <c r="D72" s="38" t="s">
        <v>451</v>
      </c>
      <c r="E72" s="194" t="s">
        <v>1802</v>
      </c>
    </row>
    <row r="73" spans="1:17" ht="25.5">
      <c r="A73" s="35">
        <v>14</v>
      </c>
      <c r="B73" s="36" t="s">
        <v>217</v>
      </c>
      <c r="C73" s="37" t="s">
        <v>454</v>
      </c>
      <c r="D73" s="38" t="s">
        <v>455</v>
      </c>
      <c r="E73" s="66" t="s">
        <v>805</v>
      </c>
    </row>
    <row r="74" spans="1:17" ht="25.5">
      <c r="A74" s="35">
        <v>15</v>
      </c>
      <c r="B74" s="36" t="s">
        <v>217</v>
      </c>
      <c r="C74" s="36" t="s">
        <v>518</v>
      </c>
      <c r="D74" s="38" t="s">
        <v>1193</v>
      </c>
      <c r="E74" s="66" t="s">
        <v>1198</v>
      </c>
    </row>
    <row r="75" spans="1:17" ht="25.5">
      <c r="A75" s="35">
        <v>16</v>
      </c>
      <c r="B75" s="36" t="s">
        <v>217</v>
      </c>
      <c r="C75" s="36" t="s">
        <v>518</v>
      </c>
      <c r="D75" s="38" t="s">
        <v>1027</v>
      </c>
      <c r="E75" s="194" t="s">
        <v>1484</v>
      </c>
    </row>
    <row r="76" spans="1:17" customFormat="1" ht="19.899999999999999" customHeight="1">
      <c r="A76" s="11"/>
      <c r="B76" s="27"/>
      <c r="C76" s="2"/>
      <c r="D76" s="13"/>
      <c r="E76" s="27"/>
    </row>
    <row r="77" spans="1:17" customFormat="1" ht="19.899999999999999" customHeight="1">
      <c r="A77" s="11"/>
      <c r="B77" s="27"/>
      <c r="C77" s="2"/>
      <c r="D77" s="13"/>
      <c r="E77" s="27"/>
      <c r="H77" s="77">
        <v>45069</v>
      </c>
    </row>
    <row r="78" spans="1:17" customFormat="1" ht="50.1" customHeight="1">
      <c r="A78" s="556" t="s">
        <v>1943</v>
      </c>
      <c r="B78" s="556"/>
      <c r="C78" s="556"/>
      <c r="D78" s="556"/>
      <c r="E78" s="556"/>
      <c r="F78" s="556"/>
      <c r="I78" s="77">
        <v>45993</v>
      </c>
    </row>
    <row r="79" spans="1:17" s="505" customFormat="1" ht="50.1" customHeight="1">
      <c r="A79" s="502" t="s">
        <v>261</v>
      </c>
      <c r="B79" s="507" t="s">
        <v>267</v>
      </c>
      <c r="C79" s="508" t="s">
        <v>268</v>
      </c>
      <c r="D79" s="508" t="s">
        <v>269</v>
      </c>
      <c r="E79" s="504" t="s">
        <v>0</v>
      </c>
      <c r="F79" s="504" t="s">
        <v>1</v>
      </c>
      <c r="G79" s="509" t="s">
        <v>6</v>
      </c>
      <c r="H79" s="509" t="s">
        <v>206</v>
      </c>
      <c r="I79" s="504" t="s">
        <v>207</v>
      </c>
      <c r="J79" s="503" t="s">
        <v>2135</v>
      </c>
      <c r="K79" s="510"/>
      <c r="L79" s="506"/>
      <c r="M79" s="504" t="s">
        <v>0</v>
      </c>
      <c r="N79" s="504" t="s">
        <v>1</v>
      </c>
      <c r="O79" s="504" t="s">
        <v>207</v>
      </c>
      <c r="P79" s="503" t="s">
        <v>2135</v>
      </c>
      <c r="Q79" s="503" t="s">
        <v>2294</v>
      </c>
    </row>
    <row r="80" spans="1:17" s="199" customFormat="1" ht="76.5" customHeight="1">
      <c r="A80" s="206">
        <v>1</v>
      </c>
      <c r="B80" s="183" t="s">
        <v>337</v>
      </c>
      <c r="C80" s="195">
        <v>39444</v>
      </c>
      <c r="D80" s="191" t="s">
        <v>338</v>
      </c>
      <c r="E80" s="184" t="s">
        <v>41</v>
      </c>
      <c r="F80" s="483">
        <v>101018</v>
      </c>
      <c r="G80" s="197" t="s">
        <v>546</v>
      </c>
      <c r="H80" s="198">
        <v>21500</v>
      </c>
      <c r="I80" s="192" t="s">
        <v>175</v>
      </c>
      <c r="J80" s="468">
        <v>45272</v>
      </c>
      <c r="K80" s="213"/>
      <c r="L80" s="498"/>
      <c r="M80" s="206" t="s">
        <v>2292</v>
      </c>
      <c r="N80" s="206">
        <v>230363</v>
      </c>
      <c r="O80" s="206" t="s">
        <v>175</v>
      </c>
      <c r="P80" s="468">
        <v>45946</v>
      </c>
      <c r="Q80" s="468">
        <v>45953</v>
      </c>
    </row>
    <row r="81" spans="1:17" s="199" customFormat="1" ht="76.5" customHeight="1">
      <c r="A81" s="206">
        <v>2</v>
      </c>
      <c r="B81" s="211" t="s">
        <v>337</v>
      </c>
      <c r="C81" s="195">
        <v>39444</v>
      </c>
      <c r="D81" s="183" t="s">
        <v>338</v>
      </c>
      <c r="E81" s="184" t="s">
        <v>41</v>
      </c>
      <c r="F81" s="204">
        <v>101143</v>
      </c>
      <c r="G81" s="197" t="s">
        <v>545</v>
      </c>
      <c r="H81" s="198">
        <v>21500</v>
      </c>
      <c r="I81" s="192" t="s">
        <v>175</v>
      </c>
      <c r="J81" s="468">
        <v>45272</v>
      </c>
      <c r="K81" s="213"/>
    </row>
    <row r="82" spans="1:17" s="199" customFormat="1" ht="76.5" customHeight="1">
      <c r="A82" s="206">
        <v>3</v>
      </c>
      <c r="B82" s="183" t="s">
        <v>305</v>
      </c>
      <c r="C82" s="195">
        <v>39570</v>
      </c>
      <c r="D82" s="183" t="s">
        <v>306</v>
      </c>
      <c r="E82" s="184" t="s">
        <v>41</v>
      </c>
      <c r="F82" s="196" t="s">
        <v>67</v>
      </c>
      <c r="G82" s="197" t="s">
        <v>546</v>
      </c>
      <c r="H82" s="198">
        <v>21500</v>
      </c>
      <c r="I82" s="192" t="s">
        <v>175</v>
      </c>
      <c r="J82" s="468">
        <v>45811</v>
      </c>
      <c r="K82" s="213"/>
    </row>
    <row r="83" spans="1:17" s="199" customFormat="1" ht="76.5" customHeight="1">
      <c r="A83" s="206">
        <v>4</v>
      </c>
      <c r="B83" s="183" t="s">
        <v>285</v>
      </c>
      <c r="C83" s="195">
        <v>39615</v>
      </c>
      <c r="D83" s="183" t="s">
        <v>286</v>
      </c>
      <c r="E83" s="184" t="s">
        <v>52</v>
      </c>
      <c r="F83" s="196" t="s">
        <v>91</v>
      </c>
      <c r="G83" s="197" t="s">
        <v>541</v>
      </c>
      <c r="H83" s="198">
        <v>21500</v>
      </c>
      <c r="I83" s="192" t="s">
        <v>175</v>
      </c>
      <c r="J83" s="468">
        <v>45743</v>
      </c>
      <c r="K83" s="213"/>
    </row>
    <row r="84" spans="1:17" s="199" customFormat="1" ht="76.5" customHeight="1">
      <c r="A84" s="206">
        <v>5</v>
      </c>
      <c r="B84" s="211" t="s">
        <v>278</v>
      </c>
      <c r="C84" s="195">
        <v>39818</v>
      </c>
      <c r="D84" s="191" t="s">
        <v>279</v>
      </c>
      <c r="E84" s="184" t="s">
        <v>52</v>
      </c>
      <c r="F84" s="204">
        <v>102287</v>
      </c>
      <c r="G84" s="197" t="s">
        <v>541</v>
      </c>
      <c r="H84" s="198">
        <v>21500</v>
      </c>
      <c r="I84" s="192" t="s">
        <v>175</v>
      </c>
      <c r="J84" s="468">
        <v>45743</v>
      </c>
      <c r="K84" s="213"/>
    </row>
    <row r="85" spans="1:17" s="99" customFormat="1" ht="76.5" customHeight="1">
      <c r="A85" s="206">
        <v>6</v>
      </c>
      <c r="B85" s="183" t="s">
        <v>278</v>
      </c>
      <c r="C85" s="195">
        <v>39818</v>
      </c>
      <c r="D85" s="191" t="s">
        <v>279</v>
      </c>
      <c r="E85" s="184" t="s">
        <v>52</v>
      </c>
      <c r="F85" s="196" t="s">
        <v>135</v>
      </c>
      <c r="G85" s="197" t="s">
        <v>541</v>
      </c>
      <c r="H85" s="198">
        <v>21500</v>
      </c>
      <c r="I85" s="192" t="s">
        <v>175</v>
      </c>
      <c r="J85" s="468">
        <v>45509</v>
      </c>
      <c r="K85" s="213"/>
      <c r="L85" s="199"/>
    </row>
    <row r="86" spans="1:17" s="199" customFormat="1" ht="76.5" customHeight="1">
      <c r="A86" s="206">
        <v>7</v>
      </c>
      <c r="B86" s="183" t="s">
        <v>299</v>
      </c>
      <c r="C86" s="195">
        <v>40073</v>
      </c>
      <c r="D86" s="191" t="s">
        <v>300</v>
      </c>
      <c r="E86" s="184" t="s">
        <v>52</v>
      </c>
      <c r="F86" s="196" t="s">
        <v>156</v>
      </c>
      <c r="G86" s="197" t="s">
        <v>541</v>
      </c>
      <c r="H86" s="198">
        <v>21500</v>
      </c>
      <c r="I86" s="192" t="s">
        <v>175</v>
      </c>
      <c r="J86" s="468">
        <v>45509</v>
      </c>
      <c r="K86" s="213"/>
    </row>
    <row r="87" spans="1:17" s="199" customFormat="1" ht="76.5" customHeight="1">
      <c r="A87" s="206">
        <v>8</v>
      </c>
      <c r="B87" s="211" t="s">
        <v>321</v>
      </c>
      <c r="C87" s="183" t="s">
        <v>322</v>
      </c>
      <c r="D87" s="191" t="s">
        <v>323</v>
      </c>
      <c r="E87" s="184" t="s">
        <v>52</v>
      </c>
      <c r="F87" s="204">
        <v>103166</v>
      </c>
      <c r="G87" s="197" t="s">
        <v>541</v>
      </c>
      <c r="H87" s="198">
        <v>22575</v>
      </c>
      <c r="I87" s="192" t="s">
        <v>175</v>
      </c>
      <c r="J87" s="468">
        <v>45275</v>
      </c>
      <c r="K87" s="213"/>
    </row>
    <row r="88" spans="1:17" s="217" customFormat="1" ht="76.5" customHeight="1">
      <c r="A88" s="206">
        <v>9</v>
      </c>
      <c r="B88" s="211" t="s">
        <v>542</v>
      </c>
      <c r="C88" s="195">
        <v>43465</v>
      </c>
      <c r="D88" s="191" t="s">
        <v>543</v>
      </c>
      <c r="E88" s="184" t="s">
        <v>518</v>
      </c>
      <c r="F88" s="204" t="s">
        <v>520</v>
      </c>
      <c r="G88" s="197" t="s">
        <v>544</v>
      </c>
      <c r="H88" s="198">
        <v>24100</v>
      </c>
      <c r="I88" s="192" t="s">
        <v>175</v>
      </c>
      <c r="J88" s="468">
        <v>46010</v>
      </c>
      <c r="K88" s="213"/>
      <c r="L88" s="199"/>
    </row>
    <row r="89" spans="1:17" s="199" customFormat="1" ht="76.5" customHeight="1">
      <c r="A89" s="206">
        <v>10</v>
      </c>
      <c r="B89" s="183" t="s">
        <v>542</v>
      </c>
      <c r="C89" s="195">
        <v>43465</v>
      </c>
      <c r="D89" s="191" t="s">
        <v>543</v>
      </c>
      <c r="E89" s="184" t="s">
        <v>518</v>
      </c>
      <c r="F89" s="204" t="s">
        <v>535</v>
      </c>
      <c r="G89" s="197" t="s">
        <v>544</v>
      </c>
      <c r="H89" s="198">
        <v>24100</v>
      </c>
      <c r="I89" s="192" t="s">
        <v>175</v>
      </c>
      <c r="J89" s="468">
        <v>46015</v>
      </c>
      <c r="K89" s="213"/>
      <c r="N89" s="21"/>
      <c r="O89" s="1"/>
      <c r="P89" s="1"/>
      <c r="Q89" s="1"/>
    </row>
    <row r="90" spans="1:17" s="199" customFormat="1" ht="76.5" customHeight="1">
      <c r="A90" s="206">
        <v>11</v>
      </c>
      <c r="B90" s="183" t="s">
        <v>1429</v>
      </c>
      <c r="C90" s="195">
        <v>44265</v>
      </c>
      <c r="D90" s="191" t="s">
        <v>1418</v>
      </c>
      <c r="E90" s="184" t="s">
        <v>518</v>
      </c>
      <c r="F90" s="196" t="s">
        <v>1421</v>
      </c>
      <c r="G90" s="197" t="s">
        <v>1430</v>
      </c>
      <c r="H90" s="215">
        <v>14500</v>
      </c>
      <c r="I90" s="192" t="s">
        <v>175</v>
      </c>
      <c r="J90" s="468">
        <v>46010</v>
      </c>
      <c r="K90" s="213"/>
    </row>
    <row r="91" spans="1:17" s="199" customFormat="1" ht="76.5" customHeight="1">
      <c r="A91" s="206">
        <v>12</v>
      </c>
      <c r="B91" s="206" t="s">
        <v>1586</v>
      </c>
      <c r="C91" s="195">
        <v>44480</v>
      </c>
      <c r="D91" s="206" t="s">
        <v>1551</v>
      </c>
      <c r="E91" s="184" t="s">
        <v>257</v>
      </c>
      <c r="F91" s="196" t="s">
        <v>1571</v>
      </c>
      <c r="G91" s="326" t="s">
        <v>1559</v>
      </c>
      <c r="H91" s="198">
        <v>11215</v>
      </c>
      <c r="I91" s="192" t="s">
        <v>175</v>
      </c>
      <c r="J91" s="468">
        <v>46015</v>
      </c>
      <c r="K91" s="213"/>
    </row>
    <row r="95" spans="1:17" ht="19.899999999999999" customHeight="1">
      <c r="P95" s="217"/>
    </row>
    <row r="96" spans="1:17" ht="19.899999999999999" customHeight="1">
      <c r="P96" s="217"/>
    </row>
    <row r="97" spans="2:16" ht="19.899999999999999" customHeight="1">
      <c r="P97" s="217"/>
    </row>
    <row r="98" spans="2:16" ht="19.899999999999999" customHeight="1" thickBot="1">
      <c r="P98" s="217"/>
    </row>
    <row r="99" spans="2:16" ht="19.899999999999999" customHeight="1" thickBot="1">
      <c r="B99" s="476" t="s">
        <v>0</v>
      </c>
      <c r="C99" s="477" t="s">
        <v>2143</v>
      </c>
      <c r="P99" s="217"/>
    </row>
    <row r="100" spans="2:16" ht="19.899999999999999" customHeight="1">
      <c r="B100" s="493" t="s">
        <v>2281</v>
      </c>
      <c r="C100" s="475">
        <v>0</v>
      </c>
      <c r="P100" s="217"/>
    </row>
    <row r="101" spans="2:16" ht="19.899999999999999" customHeight="1">
      <c r="B101" s="493" t="s">
        <v>1242</v>
      </c>
      <c r="C101" s="475">
        <v>0</v>
      </c>
      <c r="E101" s="474"/>
      <c r="F101" s="9"/>
      <c r="O101" s="199"/>
    </row>
    <row r="102" spans="2:16" ht="19.899999999999999" customHeight="1">
      <c r="B102" s="493" t="s">
        <v>2132</v>
      </c>
      <c r="C102" s="475">
        <v>3</v>
      </c>
      <c r="E102" s="474"/>
      <c r="F102" s="9"/>
      <c r="O102" s="199"/>
    </row>
    <row r="103" spans="2:16" ht="19.899999999999999" customHeight="1">
      <c r="B103" s="493" t="s">
        <v>2185</v>
      </c>
      <c r="C103" s="475">
        <v>0</v>
      </c>
      <c r="E103" s="474"/>
      <c r="F103" s="9"/>
      <c r="O103" s="199"/>
    </row>
    <row r="104" spans="2:16" ht="19.899999999999999" customHeight="1">
      <c r="B104" s="494" t="s">
        <v>2131</v>
      </c>
      <c r="C104" s="467">
        <v>3</v>
      </c>
      <c r="E104" s="474"/>
      <c r="F104" s="9"/>
      <c r="O104" s="199"/>
    </row>
    <row r="105" spans="2:16" ht="19.899999999999999" customHeight="1">
      <c r="B105" s="494" t="s">
        <v>2249</v>
      </c>
      <c r="C105" s="467">
        <v>5</v>
      </c>
      <c r="E105" s="474"/>
      <c r="F105" s="9"/>
      <c r="O105" s="199"/>
    </row>
    <row r="106" spans="2:16" ht="19.899999999999999" customHeight="1">
      <c r="B106" s="494" t="s">
        <v>2133</v>
      </c>
      <c r="C106" s="467">
        <v>0</v>
      </c>
      <c r="E106" s="474"/>
      <c r="F106" s="9"/>
      <c r="O106" s="199"/>
    </row>
    <row r="107" spans="2:16" ht="19.899999999999999" customHeight="1">
      <c r="B107" s="494" t="s">
        <v>2142</v>
      </c>
      <c r="C107" s="467">
        <v>1</v>
      </c>
      <c r="E107" s="474"/>
      <c r="F107" s="9"/>
      <c r="O107" s="199"/>
    </row>
    <row r="108" spans="2:16" ht="19.899999999999999" customHeight="1" thickBot="1">
      <c r="B108" s="470"/>
      <c r="C108" s="471"/>
      <c r="E108" s="474"/>
      <c r="F108" s="150"/>
    </row>
    <row r="109" spans="2:16" ht="19.899999999999999" customHeight="1" thickTop="1" thickBot="1">
      <c r="B109" s="472" t="s">
        <v>2134</v>
      </c>
      <c r="C109" s="473">
        <f>SUM(C100:C108)</f>
        <v>12</v>
      </c>
    </row>
    <row r="110" spans="2:16" ht="19.899999999999999" customHeight="1" thickTop="1"/>
  </sheetData>
  <mergeCells count="1">
    <mergeCell ref="A78:F78"/>
  </mergeCells>
  <phoneticPr fontId="4" type="noConversion"/>
  <printOptions horizontalCentered="1"/>
  <pageMargins left="0" right="0" top="0.51181102362204722" bottom="0.23622047244094491" header="0.31496062992125984" footer="0.31496062992125984"/>
  <pageSetup paperSize="9" scale="70" orientation="portrait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FCB08-5C99-453F-88BE-0E82D4D3692F}">
  <sheetPr>
    <tabColor rgb="FF00B050"/>
  </sheetPr>
  <dimension ref="A1:O26"/>
  <sheetViews>
    <sheetView zoomScaleNormal="100" workbookViewId="0">
      <pane ySplit="3" topLeftCell="A4" activePane="bottomLeft" state="frozen"/>
      <selection pane="bottomLeft" activeCell="G30" sqref="G30"/>
    </sheetView>
  </sheetViews>
  <sheetFormatPr defaultColWidth="9.140625" defaultRowHeight="12.75"/>
  <cols>
    <col min="1" max="1" width="4.28515625" style="219" customWidth="1"/>
    <col min="2" max="2" width="13.140625" style="219" customWidth="1"/>
    <col min="3" max="3" width="10.28515625" style="199" bestFit="1" customWidth="1"/>
    <col min="4" max="4" width="10.7109375" style="199" customWidth="1"/>
    <col min="5" max="5" width="23" style="220" bestFit="1" customWidth="1"/>
    <col min="6" max="6" width="10" style="220" bestFit="1" customWidth="1"/>
    <col min="7" max="7" width="55.7109375" style="199" customWidth="1"/>
    <col min="8" max="8" width="15.42578125" style="199" customWidth="1"/>
    <col min="9" max="9" width="16.28515625" style="221" bestFit="1" customWidth="1"/>
    <col min="10" max="10" width="20" style="221" customWidth="1"/>
    <col min="11" max="11" width="22.140625" style="199" customWidth="1"/>
    <col min="12" max="16384" width="9.140625" style="199"/>
  </cols>
  <sheetData>
    <row r="1" spans="1:15" s="76" customFormat="1" ht="19.899999999999999" customHeight="1">
      <c r="A1" s="557" t="s">
        <v>2325</v>
      </c>
      <c r="B1" s="557"/>
      <c r="C1" s="557"/>
      <c r="D1" s="557"/>
      <c r="E1" s="557"/>
      <c r="F1" s="557"/>
      <c r="G1" s="557"/>
      <c r="H1" s="557"/>
      <c r="I1" s="557"/>
      <c r="J1" s="77">
        <v>45999</v>
      </c>
    </row>
    <row r="2" spans="1:15" s="99" customFormat="1">
      <c r="A2" s="161"/>
      <c r="B2" s="163"/>
      <c r="E2" s="162"/>
      <c r="F2" s="162"/>
      <c r="I2" s="163"/>
      <c r="J2" s="164"/>
    </row>
    <row r="3" spans="1:15" s="505" customFormat="1" ht="30" customHeight="1">
      <c r="A3" s="511" t="s">
        <v>261</v>
      </c>
      <c r="B3" s="512" t="s">
        <v>267</v>
      </c>
      <c r="C3" s="513" t="s">
        <v>268</v>
      </c>
      <c r="D3" s="513" t="s">
        <v>269</v>
      </c>
      <c r="E3" s="514" t="s">
        <v>0</v>
      </c>
      <c r="F3" s="514" t="s">
        <v>1</v>
      </c>
      <c r="G3" s="515" t="s">
        <v>6</v>
      </c>
      <c r="H3" s="515" t="s">
        <v>206</v>
      </c>
      <c r="I3" s="515" t="s">
        <v>2</v>
      </c>
      <c r="J3" s="514" t="s">
        <v>207</v>
      </c>
      <c r="K3" s="516" t="s">
        <v>1817</v>
      </c>
    </row>
    <row r="4" spans="1:15" ht="76.5" customHeight="1">
      <c r="A4" s="206">
        <v>1</v>
      </c>
      <c r="B4" s="183" t="s">
        <v>1199</v>
      </c>
      <c r="C4" s="195">
        <v>43805</v>
      </c>
      <c r="D4" s="191" t="s">
        <v>1195</v>
      </c>
      <c r="E4" s="184" t="s">
        <v>518</v>
      </c>
      <c r="F4" s="196" t="s">
        <v>1192</v>
      </c>
      <c r="G4" s="197" t="s">
        <v>544</v>
      </c>
      <c r="H4" s="198">
        <v>21300</v>
      </c>
      <c r="I4" s="192" t="s">
        <v>2316</v>
      </c>
      <c r="J4" s="191" t="s">
        <v>2192</v>
      </c>
      <c r="K4" s="213"/>
    </row>
    <row r="5" spans="1:15" s="411" customFormat="1" ht="76.5" customHeight="1">
      <c r="A5" s="206">
        <v>2</v>
      </c>
      <c r="B5" s="247" t="s">
        <v>1982</v>
      </c>
      <c r="C5" s="400">
        <v>45219</v>
      </c>
      <c r="D5" s="247" t="s">
        <v>1974</v>
      </c>
      <c r="E5" s="434" t="s">
        <v>1850</v>
      </c>
      <c r="F5" s="204" t="s">
        <v>1988</v>
      </c>
      <c r="G5" s="435" t="s">
        <v>1984</v>
      </c>
      <c r="H5" s="436">
        <v>16500</v>
      </c>
      <c r="I5" s="192" t="s">
        <v>2317</v>
      </c>
      <c r="J5" s="191" t="s">
        <v>2238</v>
      </c>
      <c r="K5" s="517" t="s">
        <v>2276</v>
      </c>
      <c r="L5" s="199"/>
      <c r="O5" s="199"/>
    </row>
    <row r="6" spans="1:15" s="411" customFormat="1" ht="76.5" customHeight="1">
      <c r="A6" s="206">
        <v>3</v>
      </c>
      <c r="B6" s="247" t="s">
        <v>1982</v>
      </c>
      <c r="C6" s="400">
        <v>45219</v>
      </c>
      <c r="D6" s="247" t="s">
        <v>1974</v>
      </c>
      <c r="E6" s="434" t="s">
        <v>1850</v>
      </c>
      <c r="F6" s="204" t="s">
        <v>1991</v>
      </c>
      <c r="G6" s="435" t="s">
        <v>1984</v>
      </c>
      <c r="H6" s="436">
        <v>16500</v>
      </c>
      <c r="I6" s="192" t="s">
        <v>2317</v>
      </c>
      <c r="J6" s="191" t="s">
        <v>2219</v>
      </c>
      <c r="K6" s="213"/>
      <c r="L6" s="199"/>
      <c r="O6" s="199"/>
    </row>
    <row r="7" spans="1:15" s="411" customFormat="1" ht="76.5" customHeight="1">
      <c r="A7" s="206">
        <v>4</v>
      </c>
      <c r="B7" s="247" t="s">
        <v>332</v>
      </c>
      <c r="C7" s="400">
        <v>41360</v>
      </c>
      <c r="D7" s="247" t="s">
        <v>333</v>
      </c>
      <c r="E7" s="434" t="s">
        <v>112</v>
      </c>
      <c r="F7" s="204" t="s">
        <v>116</v>
      </c>
      <c r="G7" s="435" t="s">
        <v>334</v>
      </c>
      <c r="H7" s="436">
        <v>20000</v>
      </c>
      <c r="I7" s="192" t="s">
        <v>2324</v>
      </c>
      <c r="J7" s="191" t="s">
        <v>2323</v>
      </c>
      <c r="K7" s="213"/>
      <c r="L7" s="199"/>
      <c r="O7" s="199"/>
    </row>
    <row r="8" spans="1:15" ht="76.5" customHeight="1">
      <c r="A8" s="206">
        <v>5</v>
      </c>
      <c r="B8" s="211" t="s">
        <v>542</v>
      </c>
      <c r="C8" s="195">
        <v>43465</v>
      </c>
      <c r="D8" s="191" t="s">
        <v>543</v>
      </c>
      <c r="E8" s="184" t="s">
        <v>518</v>
      </c>
      <c r="F8" s="196" t="s">
        <v>523</v>
      </c>
      <c r="G8" s="197" t="s">
        <v>544</v>
      </c>
      <c r="H8" s="198">
        <v>24100</v>
      </c>
      <c r="I8" s="192" t="s">
        <v>2324</v>
      </c>
      <c r="J8" s="191" t="s">
        <v>2315</v>
      </c>
      <c r="K8" s="213"/>
    </row>
    <row r="9" spans="1:15" s="411" customFormat="1" ht="76.5" customHeight="1">
      <c r="A9" s="206">
        <v>6</v>
      </c>
      <c r="B9" s="247" t="s">
        <v>2178</v>
      </c>
      <c r="C9" s="400">
        <v>45386</v>
      </c>
      <c r="D9" s="247" t="s">
        <v>2086</v>
      </c>
      <c r="E9" s="434" t="s">
        <v>1975</v>
      </c>
      <c r="F9" s="402" t="s">
        <v>2113</v>
      </c>
      <c r="G9" s="435" t="s">
        <v>1983</v>
      </c>
      <c r="H9" s="436">
        <v>22300</v>
      </c>
      <c r="I9" s="192" t="s">
        <v>2318</v>
      </c>
      <c r="J9" s="191" t="s">
        <v>2319</v>
      </c>
      <c r="K9" s="191" t="s">
        <v>2339</v>
      </c>
    </row>
    <row r="10" spans="1:15" s="411" customFormat="1" ht="76.5" customHeight="1">
      <c r="A10" s="206">
        <v>7</v>
      </c>
      <c r="B10" s="247" t="s">
        <v>2271</v>
      </c>
      <c r="C10" s="400">
        <v>45841</v>
      </c>
      <c r="D10" s="247" t="s">
        <v>2266</v>
      </c>
      <c r="E10" s="434" t="s">
        <v>1975</v>
      </c>
      <c r="F10" s="402" t="s">
        <v>2272</v>
      </c>
      <c r="G10" s="435" t="s">
        <v>1983</v>
      </c>
      <c r="H10" s="436">
        <v>22300</v>
      </c>
      <c r="I10" s="192" t="s">
        <v>2318</v>
      </c>
      <c r="J10" s="191" t="s">
        <v>2320</v>
      </c>
      <c r="K10" s="191"/>
    </row>
    <row r="11" spans="1:15" ht="76.5" customHeight="1">
      <c r="A11" s="206">
        <v>8</v>
      </c>
      <c r="B11" s="183" t="s">
        <v>2295</v>
      </c>
      <c r="C11" s="195">
        <v>45958</v>
      </c>
      <c r="D11" s="191" t="s">
        <v>2296</v>
      </c>
      <c r="E11" s="184" t="s">
        <v>1975</v>
      </c>
      <c r="F11" s="196" t="s">
        <v>2297</v>
      </c>
      <c r="G11" s="197" t="s">
        <v>1983</v>
      </c>
      <c r="H11" s="436">
        <v>22300</v>
      </c>
      <c r="I11" s="192" t="s">
        <v>2318</v>
      </c>
      <c r="J11" s="191" t="s">
        <v>2319</v>
      </c>
      <c r="K11" s="213"/>
    </row>
    <row r="12" spans="1:15" s="411" customFormat="1" ht="76.5" customHeight="1">
      <c r="A12" s="206">
        <v>9</v>
      </c>
      <c r="B12" s="247" t="s">
        <v>2271</v>
      </c>
      <c r="C12" s="400">
        <v>45841</v>
      </c>
      <c r="D12" s="247" t="s">
        <v>2266</v>
      </c>
      <c r="E12" s="434" t="s">
        <v>1975</v>
      </c>
      <c r="F12" s="402" t="s">
        <v>2274</v>
      </c>
      <c r="G12" s="435" t="s">
        <v>1983</v>
      </c>
      <c r="H12" s="436">
        <v>22300</v>
      </c>
      <c r="I12" s="192" t="s">
        <v>2318</v>
      </c>
      <c r="J12" s="191" t="s">
        <v>2320</v>
      </c>
      <c r="K12" s="191"/>
    </row>
    <row r="13" spans="1:15" s="411" customFormat="1" ht="76.5" customHeight="1">
      <c r="A13" s="206">
        <v>10</v>
      </c>
      <c r="B13" s="247" t="s">
        <v>2271</v>
      </c>
      <c r="C13" s="400">
        <v>45841</v>
      </c>
      <c r="D13" s="247" t="s">
        <v>2266</v>
      </c>
      <c r="E13" s="434" t="s">
        <v>1975</v>
      </c>
      <c r="F13" s="402" t="s">
        <v>2275</v>
      </c>
      <c r="G13" s="435" t="s">
        <v>1983</v>
      </c>
      <c r="H13" s="436">
        <v>22300</v>
      </c>
      <c r="I13" s="192" t="s">
        <v>2318</v>
      </c>
      <c r="J13" s="191" t="s">
        <v>2338</v>
      </c>
      <c r="K13" s="191"/>
    </row>
    <row r="14" spans="1:15" s="411" customFormat="1" ht="76.5" customHeight="1">
      <c r="A14" s="206">
        <v>11</v>
      </c>
      <c r="B14" s="247" t="s">
        <v>2265</v>
      </c>
      <c r="C14" s="400">
        <v>45832</v>
      </c>
      <c r="D14" s="247" t="s">
        <v>2266</v>
      </c>
      <c r="E14" s="434" t="s">
        <v>1975</v>
      </c>
      <c r="F14" s="402" t="s">
        <v>2267</v>
      </c>
      <c r="G14" s="435" t="s">
        <v>1983</v>
      </c>
      <c r="H14" s="436">
        <v>22300</v>
      </c>
      <c r="I14" s="192" t="s">
        <v>2318</v>
      </c>
      <c r="J14" s="191" t="s">
        <v>2321</v>
      </c>
      <c r="K14" s="191"/>
    </row>
    <row r="15" spans="1:15" s="411" customFormat="1" ht="76.5" customHeight="1">
      <c r="A15" s="206">
        <v>12</v>
      </c>
      <c r="B15" s="247" t="s">
        <v>2295</v>
      </c>
      <c r="C15" s="400">
        <v>45958</v>
      </c>
      <c r="D15" s="247" t="s">
        <v>2296</v>
      </c>
      <c r="E15" s="434" t="s">
        <v>1975</v>
      </c>
      <c r="F15" s="402" t="s">
        <v>2299</v>
      </c>
      <c r="G15" s="435" t="s">
        <v>1983</v>
      </c>
      <c r="H15" s="436">
        <v>22300</v>
      </c>
      <c r="I15" s="192" t="s">
        <v>2318</v>
      </c>
      <c r="J15" s="191" t="s">
        <v>2321</v>
      </c>
      <c r="K15" s="191"/>
    </row>
    <row r="16" spans="1:15" s="411" customFormat="1" ht="76.5" customHeight="1">
      <c r="A16" s="206">
        <v>13</v>
      </c>
      <c r="B16" s="247" t="s">
        <v>2265</v>
      </c>
      <c r="C16" s="400">
        <v>45832</v>
      </c>
      <c r="D16" s="247" t="s">
        <v>2266</v>
      </c>
      <c r="E16" s="434" t="s">
        <v>1975</v>
      </c>
      <c r="F16" s="402" t="s">
        <v>2269</v>
      </c>
      <c r="G16" s="435" t="s">
        <v>1983</v>
      </c>
      <c r="H16" s="436">
        <v>22300</v>
      </c>
      <c r="I16" s="192" t="s">
        <v>2318</v>
      </c>
      <c r="J16" s="191" t="s">
        <v>2321</v>
      </c>
      <c r="K16" s="191"/>
    </row>
    <row r="17" spans="1:15" s="411" customFormat="1" ht="76.5" customHeight="1">
      <c r="A17" s="206">
        <v>14</v>
      </c>
      <c r="B17" s="247" t="s">
        <v>2295</v>
      </c>
      <c r="C17" s="400">
        <v>45958</v>
      </c>
      <c r="D17" s="247" t="s">
        <v>2296</v>
      </c>
      <c r="E17" s="434" t="s">
        <v>1975</v>
      </c>
      <c r="F17" s="402" t="s">
        <v>2300</v>
      </c>
      <c r="G17" s="435" t="s">
        <v>1983</v>
      </c>
      <c r="H17" s="436">
        <v>22300</v>
      </c>
      <c r="I17" s="192" t="s">
        <v>2318</v>
      </c>
      <c r="J17" s="191" t="s">
        <v>2338</v>
      </c>
      <c r="K17" s="191"/>
    </row>
    <row r="18" spans="1:15" s="411" customFormat="1" ht="76.5" customHeight="1">
      <c r="A18" s="206">
        <v>15</v>
      </c>
      <c r="B18" s="247" t="s">
        <v>2295</v>
      </c>
      <c r="C18" s="400">
        <v>45958</v>
      </c>
      <c r="D18" s="247" t="s">
        <v>2296</v>
      </c>
      <c r="E18" s="434" t="s">
        <v>1975</v>
      </c>
      <c r="F18" s="402" t="s">
        <v>2301</v>
      </c>
      <c r="G18" s="435" t="s">
        <v>1983</v>
      </c>
      <c r="H18" s="436">
        <v>22300</v>
      </c>
      <c r="I18" s="192" t="s">
        <v>2318</v>
      </c>
      <c r="J18" s="191" t="s">
        <v>2320</v>
      </c>
      <c r="K18" s="191"/>
    </row>
    <row r="19" spans="1:15" s="411" customFormat="1" ht="76.5">
      <c r="A19" s="206">
        <v>16</v>
      </c>
      <c r="B19" s="247" t="s">
        <v>2305</v>
      </c>
      <c r="C19" s="400">
        <v>45988</v>
      </c>
      <c r="D19" s="247" t="s">
        <v>2296</v>
      </c>
      <c r="E19" s="434" t="s">
        <v>1975</v>
      </c>
      <c r="F19" s="402" t="s">
        <v>2307</v>
      </c>
      <c r="G19" s="435" t="s">
        <v>1983</v>
      </c>
      <c r="H19" s="436">
        <v>22300</v>
      </c>
      <c r="I19" s="192" t="s">
        <v>2318</v>
      </c>
      <c r="J19" s="191" t="s">
        <v>2322</v>
      </c>
      <c r="K19" s="213"/>
    </row>
    <row r="20" spans="1:15" s="411" customFormat="1" ht="76.5" customHeight="1">
      <c r="A20" s="206">
        <v>17</v>
      </c>
      <c r="B20" s="247" t="s">
        <v>2313</v>
      </c>
      <c r="C20" s="400">
        <v>45996</v>
      </c>
      <c r="D20" s="247" t="s">
        <v>2314</v>
      </c>
      <c r="E20" s="434" t="s">
        <v>2308</v>
      </c>
      <c r="F20" s="204" t="s">
        <v>2312</v>
      </c>
      <c r="G20" s="435" t="s">
        <v>2309</v>
      </c>
      <c r="H20" s="436">
        <v>22300</v>
      </c>
      <c r="I20" s="192" t="s">
        <v>2318</v>
      </c>
      <c r="J20" s="191" t="s">
        <v>2322</v>
      </c>
      <c r="K20" s="213"/>
      <c r="L20" s="199"/>
      <c r="O20" s="199"/>
    </row>
    <row r="21" spans="1:15" s="411" customFormat="1" ht="76.5" customHeight="1">
      <c r="A21" s="206">
        <v>18</v>
      </c>
      <c r="B21" s="247" t="s">
        <v>2313</v>
      </c>
      <c r="C21" s="400">
        <v>45996</v>
      </c>
      <c r="D21" s="247" t="s">
        <v>2314</v>
      </c>
      <c r="E21" s="434" t="s">
        <v>1880</v>
      </c>
      <c r="F21" s="204" t="s">
        <v>2311</v>
      </c>
      <c r="G21" s="435" t="s">
        <v>2309</v>
      </c>
      <c r="H21" s="436">
        <v>22300</v>
      </c>
      <c r="I21" s="192" t="s">
        <v>2318</v>
      </c>
      <c r="J21" s="191" t="s">
        <v>2322</v>
      </c>
      <c r="K21" s="213"/>
      <c r="L21" s="199"/>
      <c r="O21" s="199"/>
    </row>
    <row r="22" spans="1:15" s="411" customFormat="1" ht="76.5" customHeight="1">
      <c r="A22" s="206">
        <v>19</v>
      </c>
      <c r="B22" s="247" t="s">
        <v>2328</v>
      </c>
      <c r="C22" s="400">
        <v>45999</v>
      </c>
      <c r="D22" s="247" t="s">
        <v>2314</v>
      </c>
      <c r="E22" s="434" t="s">
        <v>1880</v>
      </c>
      <c r="F22" s="402" t="s">
        <v>2326</v>
      </c>
      <c r="G22" s="435" t="s">
        <v>2334</v>
      </c>
      <c r="H22" s="436">
        <v>22300</v>
      </c>
      <c r="I22" s="192" t="s">
        <v>2318</v>
      </c>
      <c r="J22" s="191" t="s">
        <v>2340</v>
      </c>
      <c r="K22" s="213"/>
    </row>
    <row r="23" spans="1:15" s="411" customFormat="1" ht="76.5">
      <c r="A23" s="206">
        <v>20</v>
      </c>
      <c r="B23" s="247" t="s">
        <v>2333</v>
      </c>
      <c r="C23" s="400">
        <v>45999</v>
      </c>
      <c r="D23" s="247" t="s">
        <v>2332</v>
      </c>
      <c r="E23" s="434" t="s">
        <v>1975</v>
      </c>
      <c r="F23" s="402" t="s">
        <v>2331</v>
      </c>
      <c r="G23" s="435" t="s">
        <v>1983</v>
      </c>
      <c r="H23" s="436">
        <v>22300</v>
      </c>
      <c r="I23" s="192" t="s">
        <v>2318</v>
      </c>
      <c r="J23" s="191" t="s">
        <v>2341</v>
      </c>
      <c r="K23" s="213"/>
    </row>
    <row r="24" spans="1:15" s="411" customFormat="1" ht="76.5" customHeight="1">
      <c r="A24" s="206">
        <v>21</v>
      </c>
      <c r="B24" s="247" t="s">
        <v>2337</v>
      </c>
      <c r="C24" s="400">
        <v>46000</v>
      </c>
      <c r="D24" s="247" t="s">
        <v>2314</v>
      </c>
      <c r="E24" s="434" t="s">
        <v>1880</v>
      </c>
      <c r="F24" s="402" t="s">
        <v>2335</v>
      </c>
      <c r="G24" s="435" t="s">
        <v>2334</v>
      </c>
      <c r="H24" s="436">
        <v>22300</v>
      </c>
      <c r="I24" s="192" t="s">
        <v>2318</v>
      </c>
      <c r="J24" s="191" t="s">
        <v>2341</v>
      </c>
      <c r="K24" s="213"/>
    </row>
    <row r="25" spans="1:15" s="411" customFormat="1" ht="76.5">
      <c r="A25" s="206">
        <v>22</v>
      </c>
      <c r="B25" s="247" t="s">
        <v>2333</v>
      </c>
      <c r="C25" s="400">
        <v>45999</v>
      </c>
      <c r="D25" s="247" t="s">
        <v>2332</v>
      </c>
      <c r="E25" s="434" t="s">
        <v>1975</v>
      </c>
      <c r="F25" s="402" t="s">
        <v>2330</v>
      </c>
      <c r="G25" s="435" t="s">
        <v>1983</v>
      </c>
      <c r="H25" s="436">
        <v>22300</v>
      </c>
      <c r="I25" s="192" t="s">
        <v>2318</v>
      </c>
      <c r="J25" s="191" t="s">
        <v>2342</v>
      </c>
      <c r="K25" s="213"/>
    </row>
    <row r="26" spans="1:15" s="411" customFormat="1" ht="76.5" customHeight="1">
      <c r="A26" s="206">
        <v>23</v>
      </c>
      <c r="B26" s="247" t="s">
        <v>2328</v>
      </c>
      <c r="C26" s="400">
        <v>45999</v>
      </c>
      <c r="D26" s="247" t="s">
        <v>2314</v>
      </c>
      <c r="E26" s="434" t="s">
        <v>1880</v>
      </c>
      <c r="F26" s="402" t="s">
        <v>2327</v>
      </c>
      <c r="G26" s="435" t="s">
        <v>2334</v>
      </c>
      <c r="H26" s="436">
        <v>22300</v>
      </c>
      <c r="I26" s="192" t="s">
        <v>2318</v>
      </c>
      <c r="J26" s="191" t="s">
        <v>2342</v>
      </c>
      <c r="K26" s="213"/>
    </row>
  </sheetData>
  <mergeCells count="1">
    <mergeCell ref="A1:I1"/>
  </mergeCells>
  <phoneticPr fontId="41" type="noConversion"/>
  <printOptions horizontalCentered="1"/>
  <pageMargins left="0" right="0" top="0.23622047244094499" bottom="0.23622047244094499" header="0.511811023622047" footer="0.511811023622047"/>
  <pageSetup paperSize="9" scale="90" orientation="portrait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H35"/>
  <sheetViews>
    <sheetView topLeftCell="A16" zoomScale="130" zoomScaleNormal="130" workbookViewId="0">
      <selection activeCell="B28" sqref="B28"/>
    </sheetView>
  </sheetViews>
  <sheetFormatPr defaultColWidth="8.7109375" defaultRowHeight="19.899999999999999" customHeight="1"/>
  <cols>
    <col min="1" max="1" width="3.7109375" style="59" bestFit="1" customWidth="1"/>
    <col min="2" max="2" width="9" style="9" bestFit="1" customWidth="1"/>
    <col min="3" max="3" width="16.28515625" style="1" bestFit="1" customWidth="1"/>
    <col min="4" max="4" width="14" style="1" bestFit="1" customWidth="1"/>
    <col min="5" max="5" width="13.28515625" style="9" bestFit="1" customWidth="1"/>
    <col min="6" max="6" width="29.28515625" style="1" customWidth="1"/>
    <col min="7" max="7" width="24" style="1" hidden="1" customWidth="1"/>
    <col min="8" max="8" width="30.7109375" style="1" customWidth="1"/>
    <col min="9" max="16384" width="8.7109375" style="1"/>
  </cols>
  <sheetData>
    <row r="1" spans="1:8" s="53" customFormat="1" ht="19.899999999999999" customHeight="1">
      <c r="A1" s="558" t="s">
        <v>354</v>
      </c>
      <c r="B1" s="558"/>
      <c r="C1" s="558"/>
      <c r="D1" s="558"/>
      <c r="E1" s="558"/>
      <c r="F1" s="558"/>
      <c r="G1" s="52">
        <v>43517</v>
      </c>
      <c r="H1" s="52"/>
    </row>
    <row r="2" spans="1:8" s="53" customFormat="1" ht="15" customHeight="1">
      <c r="B2" s="51"/>
      <c r="C2" s="50"/>
      <c r="E2" s="128"/>
      <c r="G2" s="52"/>
      <c r="H2" s="52"/>
    </row>
    <row r="3" spans="1:8" s="59" customFormat="1" ht="19.899999999999999" customHeight="1">
      <c r="A3" s="56" t="s">
        <v>261</v>
      </c>
      <c r="B3" s="56" t="s">
        <v>1</v>
      </c>
      <c r="C3" s="56" t="s">
        <v>0</v>
      </c>
      <c r="D3" s="57" t="s">
        <v>206</v>
      </c>
      <c r="E3" s="57" t="s">
        <v>4</v>
      </c>
      <c r="F3" s="56" t="s">
        <v>2</v>
      </c>
      <c r="G3" s="58" t="s">
        <v>5</v>
      </c>
      <c r="H3" s="58" t="s">
        <v>5</v>
      </c>
    </row>
    <row r="4" spans="1:8" ht="19.899999999999999" customHeight="1">
      <c r="A4" s="56">
        <v>1</v>
      </c>
      <c r="B4" s="8" t="s">
        <v>251</v>
      </c>
      <c r="C4" s="7" t="s">
        <v>172</v>
      </c>
      <c r="D4" s="65" t="s">
        <v>416</v>
      </c>
      <c r="E4" s="8" t="s">
        <v>10</v>
      </c>
      <c r="F4" s="7" t="s">
        <v>9</v>
      </c>
      <c r="G4" s="136" t="s">
        <v>1141</v>
      </c>
      <c r="H4" s="7" t="s">
        <v>250</v>
      </c>
    </row>
    <row r="5" spans="1:8" ht="19.899999999999999" customHeight="1">
      <c r="A5" s="56">
        <v>2</v>
      </c>
      <c r="B5" s="8" t="s">
        <v>255</v>
      </c>
      <c r="C5" s="7" t="s">
        <v>172</v>
      </c>
      <c r="D5" s="65" t="s">
        <v>416</v>
      </c>
      <c r="E5" s="8" t="s">
        <v>10</v>
      </c>
      <c r="F5" s="7" t="s">
        <v>9</v>
      </c>
      <c r="G5" s="136" t="s">
        <v>1141</v>
      </c>
      <c r="H5" s="7" t="s">
        <v>250</v>
      </c>
    </row>
    <row r="6" spans="1:8" ht="19.899999999999999" customHeight="1">
      <c r="A6" s="56">
        <v>3</v>
      </c>
      <c r="B6" s="8" t="s">
        <v>173</v>
      </c>
      <c r="C6" s="7" t="s">
        <v>172</v>
      </c>
      <c r="D6" s="65" t="s">
        <v>416</v>
      </c>
      <c r="E6" s="8" t="s">
        <v>174</v>
      </c>
      <c r="F6" s="7" t="s">
        <v>9</v>
      </c>
      <c r="G6" s="136" t="s">
        <v>1141</v>
      </c>
      <c r="H6" s="7" t="s">
        <v>250</v>
      </c>
    </row>
    <row r="7" spans="1:8" ht="19.899999999999999" customHeight="1">
      <c r="A7" s="56">
        <v>4</v>
      </c>
      <c r="B7" s="8" t="s">
        <v>253</v>
      </c>
      <c r="C7" s="7" t="s">
        <v>172</v>
      </c>
      <c r="D7" s="65" t="s">
        <v>416</v>
      </c>
      <c r="E7" s="8" t="s">
        <v>10</v>
      </c>
      <c r="F7" s="7" t="s">
        <v>9</v>
      </c>
      <c r="G7" s="136" t="s">
        <v>1141</v>
      </c>
      <c r="H7" s="7" t="s">
        <v>250</v>
      </c>
    </row>
    <row r="8" spans="1:8" ht="19.899999999999999" customHeight="1">
      <c r="A8" s="56">
        <v>5</v>
      </c>
      <c r="B8" s="8" t="s">
        <v>254</v>
      </c>
      <c r="C8" s="7" t="s">
        <v>172</v>
      </c>
      <c r="D8" s="65" t="s">
        <v>416</v>
      </c>
      <c r="E8" s="8" t="s">
        <v>10</v>
      </c>
      <c r="F8" s="7" t="s">
        <v>9</v>
      </c>
      <c r="G8" s="136" t="s">
        <v>1141</v>
      </c>
      <c r="H8" s="7" t="s">
        <v>250</v>
      </c>
    </row>
    <row r="9" spans="1:8" ht="19.899999999999999" customHeight="1">
      <c r="A9" s="56">
        <v>6</v>
      </c>
      <c r="B9" s="8" t="s">
        <v>252</v>
      </c>
      <c r="C9" s="7" t="s">
        <v>172</v>
      </c>
      <c r="D9" s="65" t="s">
        <v>416</v>
      </c>
      <c r="E9" s="8" t="s">
        <v>10</v>
      </c>
      <c r="F9" s="7" t="s">
        <v>9</v>
      </c>
      <c r="G9" s="136" t="s">
        <v>1141</v>
      </c>
      <c r="H9" s="7" t="s">
        <v>250</v>
      </c>
    </row>
    <row r="10" spans="1:8" ht="19.899999999999999" customHeight="1">
      <c r="A10" s="56">
        <v>7</v>
      </c>
      <c r="B10" s="8" t="s">
        <v>249</v>
      </c>
      <c r="C10" s="7" t="s">
        <v>172</v>
      </c>
      <c r="D10" s="65" t="s">
        <v>416</v>
      </c>
      <c r="E10" s="8" t="s">
        <v>10</v>
      </c>
      <c r="F10" s="7" t="s">
        <v>9</v>
      </c>
      <c r="G10" s="136" t="s">
        <v>1141</v>
      </c>
      <c r="H10" s="7" t="s">
        <v>250</v>
      </c>
    </row>
    <row r="11" spans="1:8" ht="19.899999999999999" customHeight="1">
      <c r="A11" s="56">
        <v>8</v>
      </c>
      <c r="B11" s="8" t="s">
        <v>180</v>
      </c>
      <c r="C11" s="7" t="s">
        <v>172</v>
      </c>
      <c r="D11" s="65" t="s">
        <v>416</v>
      </c>
      <c r="E11" s="8" t="s">
        <v>174</v>
      </c>
      <c r="F11" s="7" t="s">
        <v>9</v>
      </c>
      <c r="G11" s="136" t="s">
        <v>1141</v>
      </c>
      <c r="H11" s="7" t="s">
        <v>250</v>
      </c>
    </row>
    <row r="12" spans="1:8" ht="19.899999999999999" customHeight="1">
      <c r="A12" s="56">
        <v>9</v>
      </c>
      <c r="B12" s="8" t="s">
        <v>25</v>
      </c>
      <c r="C12" s="7" t="s">
        <v>24</v>
      </c>
      <c r="D12" s="129">
        <v>4872</v>
      </c>
      <c r="E12" s="8" t="s">
        <v>20</v>
      </c>
      <c r="F12" s="7" t="s">
        <v>9</v>
      </c>
      <c r="G12" s="136" t="s">
        <v>1141</v>
      </c>
      <c r="H12" s="7" t="s">
        <v>17</v>
      </c>
    </row>
    <row r="13" spans="1:8" ht="19.899999999999999" customHeight="1">
      <c r="A13" s="56">
        <v>10</v>
      </c>
      <c r="B13" s="8" t="s">
        <v>27</v>
      </c>
      <c r="C13" s="7" t="s">
        <v>26</v>
      </c>
      <c r="D13" s="129">
        <v>4100</v>
      </c>
      <c r="E13" s="8" t="s">
        <v>28</v>
      </c>
      <c r="F13" s="7" t="s">
        <v>9</v>
      </c>
      <c r="G13" s="136" t="s">
        <v>1141</v>
      </c>
      <c r="H13" s="7" t="s">
        <v>17</v>
      </c>
    </row>
    <row r="14" spans="1:8" ht="19.899999999999999" customHeight="1">
      <c r="A14" s="56">
        <v>11</v>
      </c>
      <c r="B14" s="8" t="s">
        <v>37</v>
      </c>
      <c r="C14" s="7" t="s">
        <v>36</v>
      </c>
      <c r="D14" s="129">
        <v>1000</v>
      </c>
      <c r="E14" s="8" t="s">
        <v>38</v>
      </c>
      <c r="F14" s="7" t="s">
        <v>9</v>
      </c>
      <c r="G14" s="136" t="s">
        <v>1141</v>
      </c>
      <c r="H14" s="7" t="s">
        <v>17</v>
      </c>
    </row>
    <row r="15" spans="1:8" ht="19.899999999999999" customHeight="1" thickBot="1">
      <c r="B15" s="1"/>
      <c r="C15" s="130" t="s">
        <v>355</v>
      </c>
      <c r="D15" s="131">
        <f>SUM(D4:D14)</f>
        <v>9972</v>
      </c>
      <c r="E15" s="132">
        <f>SUM(E8:E14)</f>
        <v>0</v>
      </c>
      <c r="G15" s="55"/>
      <c r="H15" s="55"/>
    </row>
    <row r="16" spans="1:8" ht="19.899999999999999" customHeight="1" thickTop="1"/>
    <row r="17" spans="1:8" s="59" customFormat="1" ht="19.899999999999999" customHeight="1">
      <c r="A17" s="56" t="s">
        <v>261</v>
      </c>
      <c r="B17" s="56" t="s">
        <v>1</v>
      </c>
      <c r="C17" s="56" t="s">
        <v>0</v>
      </c>
      <c r="D17" s="57" t="s">
        <v>206</v>
      </c>
      <c r="E17" s="57" t="s">
        <v>1143</v>
      </c>
      <c r="F17" s="56" t="s">
        <v>2</v>
      </c>
      <c r="G17" s="58" t="s">
        <v>5</v>
      </c>
      <c r="H17" s="58" t="s">
        <v>5</v>
      </c>
    </row>
    <row r="18" spans="1:8" ht="19.899999999999999" customHeight="1">
      <c r="A18" s="56">
        <v>1</v>
      </c>
      <c r="B18" s="8" t="s">
        <v>42</v>
      </c>
      <c r="C18" s="7" t="s">
        <v>41</v>
      </c>
      <c r="D18" s="133">
        <v>21500</v>
      </c>
      <c r="E18" s="8"/>
      <c r="F18" s="7" t="s">
        <v>9</v>
      </c>
      <c r="G18" s="136" t="s">
        <v>1142</v>
      </c>
      <c r="H18" s="7" t="s">
        <v>539</v>
      </c>
    </row>
    <row r="19" spans="1:8" ht="19.899999999999999" customHeight="1">
      <c r="A19" s="56">
        <v>2</v>
      </c>
      <c r="B19" s="8" t="s">
        <v>44</v>
      </c>
      <c r="C19" s="7" t="s">
        <v>41</v>
      </c>
      <c r="D19" s="133">
        <v>21500</v>
      </c>
      <c r="E19" s="167">
        <v>39444</v>
      </c>
      <c r="F19" s="7" t="s">
        <v>9</v>
      </c>
      <c r="G19" s="136" t="s">
        <v>1142</v>
      </c>
      <c r="H19" s="7" t="s">
        <v>539</v>
      </c>
    </row>
    <row r="20" spans="1:8" ht="19.899999999999999" customHeight="1">
      <c r="A20" s="56">
        <v>3</v>
      </c>
      <c r="B20" s="8" t="s">
        <v>90</v>
      </c>
      <c r="C20" s="7" t="s">
        <v>52</v>
      </c>
      <c r="D20" s="133">
        <v>21500</v>
      </c>
      <c r="E20" s="8"/>
      <c r="F20" s="7" t="s">
        <v>9</v>
      </c>
      <c r="G20" s="136" t="s">
        <v>1142</v>
      </c>
      <c r="H20" s="7" t="s">
        <v>539</v>
      </c>
    </row>
    <row r="21" spans="1:8" ht="19.899999999999999" customHeight="1">
      <c r="A21" s="56">
        <v>4</v>
      </c>
      <c r="B21" s="8" t="s">
        <v>45</v>
      </c>
      <c r="C21" s="7" t="s">
        <v>41</v>
      </c>
      <c r="D21" s="133">
        <v>21500</v>
      </c>
      <c r="E21" s="177">
        <v>39437</v>
      </c>
      <c r="F21" s="7" t="s">
        <v>9</v>
      </c>
      <c r="G21" s="136" t="s">
        <v>1142</v>
      </c>
      <c r="H21" s="7" t="s">
        <v>539</v>
      </c>
    </row>
    <row r="22" spans="1:8" ht="19.899999999999999" customHeight="1">
      <c r="A22" s="56">
        <v>5</v>
      </c>
      <c r="B22" s="8" t="s">
        <v>70</v>
      </c>
      <c r="C22" s="7" t="s">
        <v>41</v>
      </c>
      <c r="D22" s="133">
        <v>21500</v>
      </c>
      <c r="E22" s="8"/>
      <c r="F22" s="7" t="s">
        <v>9</v>
      </c>
      <c r="G22" s="136" t="s">
        <v>1142</v>
      </c>
      <c r="H22" s="7" t="s">
        <v>539</v>
      </c>
    </row>
    <row r="23" spans="1:8" ht="19.899999999999999" customHeight="1">
      <c r="A23" s="56">
        <v>6</v>
      </c>
      <c r="B23" s="8" t="s">
        <v>99</v>
      </c>
      <c r="C23" s="7" t="s">
        <v>52</v>
      </c>
      <c r="D23" s="133">
        <v>21500</v>
      </c>
      <c r="E23" s="8"/>
      <c r="F23" s="7" t="s">
        <v>9</v>
      </c>
      <c r="G23" s="136" t="s">
        <v>1142</v>
      </c>
      <c r="H23" s="60" t="s">
        <v>539</v>
      </c>
    </row>
    <row r="24" spans="1:8" ht="19.899999999999999" customHeight="1">
      <c r="A24" s="56">
        <v>7</v>
      </c>
      <c r="B24" s="134">
        <v>101101</v>
      </c>
      <c r="C24" s="60" t="s">
        <v>41</v>
      </c>
      <c r="D24" s="135">
        <v>21500</v>
      </c>
      <c r="E24" s="8"/>
      <c r="F24" s="7" t="s">
        <v>9</v>
      </c>
      <c r="G24" s="136" t="s">
        <v>1142</v>
      </c>
      <c r="H24" s="60" t="s">
        <v>539</v>
      </c>
    </row>
    <row r="25" spans="1:8" ht="19.899999999999999" customHeight="1">
      <c r="A25" s="56">
        <v>8</v>
      </c>
      <c r="B25" s="134">
        <v>101551</v>
      </c>
      <c r="C25" s="60" t="s">
        <v>41</v>
      </c>
      <c r="D25" s="135">
        <v>21500</v>
      </c>
      <c r="E25" s="8"/>
      <c r="F25" s="7" t="s">
        <v>9</v>
      </c>
      <c r="G25" s="136" t="s">
        <v>1142</v>
      </c>
      <c r="H25" s="60" t="s">
        <v>539</v>
      </c>
    </row>
    <row r="26" spans="1:8" ht="19.899999999999999" customHeight="1">
      <c r="A26" s="56">
        <v>9</v>
      </c>
      <c r="B26" s="134">
        <v>101105</v>
      </c>
      <c r="C26" s="60" t="s">
        <v>52</v>
      </c>
      <c r="D26" s="135">
        <v>21500</v>
      </c>
      <c r="E26" s="177">
        <v>39437</v>
      </c>
      <c r="F26" s="7" t="s">
        <v>9</v>
      </c>
      <c r="G26" s="136" t="s">
        <v>1142</v>
      </c>
      <c r="H26" s="60" t="s">
        <v>539</v>
      </c>
    </row>
    <row r="27" spans="1:8" ht="19.899999999999999" customHeight="1">
      <c r="A27" s="56">
        <v>10</v>
      </c>
      <c r="B27" s="134">
        <v>102289</v>
      </c>
      <c r="C27" s="60" t="s">
        <v>52</v>
      </c>
      <c r="D27" s="135">
        <v>21500</v>
      </c>
      <c r="E27" s="70"/>
      <c r="F27" s="7" t="s">
        <v>9</v>
      </c>
      <c r="G27" s="136" t="s">
        <v>1142</v>
      </c>
      <c r="H27" s="60" t="s">
        <v>539</v>
      </c>
    </row>
    <row r="28" spans="1:8" ht="19.899999999999999" customHeight="1">
      <c r="A28" s="56">
        <v>11</v>
      </c>
      <c r="B28" s="134">
        <v>101303</v>
      </c>
      <c r="C28" s="60" t="s">
        <v>52</v>
      </c>
      <c r="D28" s="135">
        <v>22575</v>
      </c>
      <c r="E28" s="70"/>
      <c r="F28" s="7" t="s">
        <v>9</v>
      </c>
      <c r="G28" s="136" t="s">
        <v>1142</v>
      </c>
      <c r="H28" s="60" t="s">
        <v>539</v>
      </c>
    </row>
    <row r="29" spans="1:8" ht="19.899999999999999" customHeight="1">
      <c r="A29" s="56">
        <v>12</v>
      </c>
      <c r="B29" s="134" t="s">
        <v>129</v>
      </c>
      <c r="C29" s="60" t="s">
        <v>52</v>
      </c>
      <c r="D29" s="135">
        <v>21500</v>
      </c>
      <c r="E29" s="70"/>
      <c r="F29" s="7" t="s">
        <v>9</v>
      </c>
      <c r="G29" s="136" t="s">
        <v>1142</v>
      </c>
      <c r="H29" s="60" t="s">
        <v>539</v>
      </c>
    </row>
    <row r="30" spans="1:8" ht="19.899999999999999" customHeight="1">
      <c r="A30" s="56">
        <v>13</v>
      </c>
      <c r="B30" s="134">
        <v>102293</v>
      </c>
      <c r="C30" s="60" t="s">
        <v>52</v>
      </c>
      <c r="D30" s="135">
        <v>21500</v>
      </c>
      <c r="E30" s="70"/>
      <c r="F30" s="7" t="s">
        <v>9</v>
      </c>
      <c r="G30" s="136" t="s">
        <v>1142</v>
      </c>
      <c r="H30" s="60" t="s">
        <v>539</v>
      </c>
    </row>
    <row r="31" spans="1:8" ht="19.899999999999999" customHeight="1">
      <c r="A31" s="56">
        <v>14</v>
      </c>
      <c r="B31" s="134" t="s">
        <v>157</v>
      </c>
      <c r="C31" s="60" t="s">
        <v>52</v>
      </c>
      <c r="D31" s="135">
        <v>21500</v>
      </c>
      <c r="E31" s="70"/>
      <c r="F31" s="7" t="s">
        <v>9</v>
      </c>
      <c r="G31" s="136" t="s">
        <v>1142</v>
      </c>
      <c r="H31" s="60" t="s">
        <v>539</v>
      </c>
    </row>
    <row r="32" spans="1:8" ht="19.899999999999999" customHeight="1">
      <c r="A32" s="56">
        <v>15</v>
      </c>
      <c r="B32" s="134" t="s">
        <v>455</v>
      </c>
      <c r="C32" s="60" t="s">
        <v>454</v>
      </c>
      <c r="D32" s="137">
        <v>11900</v>
      </c>
      <c r="E32" s="72"/>
      <c r="F32" s="7" t="s">
        <v>9</v>
      </c>
      <c r="G32" s="136" t="s">
        <v>1142</v>
      </c>
      <c r="H32" s="136" t="s">
        <v>456</v>
      </c>
    </row>
    <row r="33" spans="1:8" ht="19.899999999999999" customHeight="1">
      <c r="A33" s="56">
        <v>16</v>
      </c>
      <c r="B33" s="134">
        <v>102284</v>
      </c>
      <c r="C33" s="60" t="s">
        <v>52</v>
      </c>
      <c r="D33" s="137">
        <v>21500</v>
      </c>
      <c r="E33" s="72"/>
      <c r="F33" s="7" t="s">
        <v>9</v>
      </c>
      <c r="G33" s="136" t="s">
        <v>541</v>
      </c>
      <c r="H33" s="136" t="s">
        <v>1142</v>
      </c>
    </row>
    <row r="34" spans="1:8" ht="19.899999999999999" customHeight="1" thickBot="1">
      <c r="C34" s="130" t="s">
        <v>392</v>
      </c>
      <c r="D34" s="138">
        <f>SUM(D18:D33)</f>
        <v>335475</v>
      </c>
      <c r="G34" s="55"/>
      <c r="H34" s="55"/>
    </row>
    <row r="35" spans="1:8" ht="19.899999999999999" customHeight="1" thickTop="1"/>
  </sheetData>
  <mergeCells count="1">
    <mergeCell ref="A1:F1"/>
  </mergeCells>
  <printOptions horizontalCentered="1"/>
  <pageMargins left="0.25" right="0.25" top="0.75" bottom="0.75" header="0.3" footer="0.3"/>
  <pageSetup paperSize="9" scale="90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J18"/>
  <sheetViews>
    <sheetView topLeftCell="A12" workbookViewId="0">
      <selection activeCell="F13" sqref="F1:F1048576"/>
    </sheetView>
  </sheetViews>
  <sheetFormatPr defaultColWidth="9.28515625" defaultRowHeight="12.75"/>
  <cols>
    <col min="1" max="1" width="4" style="46" bestFit="1" customWidth="1"/>
    <col min="2" max="2" width="7.140625" style="47" bestFit="1" customWidth="1"/>
    <col min="3" max="3" width="16" style="47" bestFit="1" customWidth="1"/>
    <col min="4" max="4" width="11.42578125" style="47" bestFit="1" customWidth="1"/>
    <col min="5" max="5" width="16" style="47" bestFit="1" customWidth="1"/>
    <col min="6" max="6" width="29.28515625" style="48" bestFit="1" customWidth="1"/>
    <col min="7" max="7" width="29.7109375" style="49" bestFit="1" customWidth="1"/>
    <col min="8" max="8" width="30.7109375" style="48" bestFit="1" customWidth="1"/>
    <col min="9" max="9" width="24.5703125" style="44" bestFit="1" customWidth="1"/>
    <col min="10" max="10" width="18.5703125" style="44" bestFit="1" customWidth="1"/>
    <col min="11" max="11" width="9.5703125" style="44" bestFit="1" customWidth="1"/>
    <col min="12" max="12" width="13.7109375" style="44" bestFit="1" customWidth="1"/>
    <col min="13" max="16384" width="9.28515625" style="44"/>
  </cols>
  <sheetData>
    <row r="1" spans="1:9" ht="18">
      <c r="A1" s="180" t="s">
        <v>1151</v>
      </c>
    </row>
    <row r="2" spans="1:9" s="99" customFormat="1" ht="20.45" customHeight="1">
      <c r="A2" s="145" t="s">
        <v>261</v>
      </c>
      <c r="B2" s="78" t="s">
        <v>267</v>
      </c>
      <c r="C2" s="78" t="s">
        <v>268</v>
      </c>
      <c r="D2" s="78" t="s">
        <v>269</v>
      </c>
      <c r="E2" s="165" t="s">
        <v>0</v>
      </c>
      <c r="F2" s="165" t="s">
        <v>1</v>
      </c>
      <c r="G2" s="166" t="s">
        <v>6</v>
      </c>
      <c r="H2" s="166" t="s">
        <v>206</v>
      </c>
      <c r="I2" s="142" t="s">
        <v>207</v>
      </c>
    </row>
    <row r="3" spans="1:9" s="73" customFormat="1" ht="60" customHeight="1">
      <c r="A3" s="92">
        <v>1</v>
      </c>
      <c r="B3" s="173" t="s">
        <v>280</v>
      </c>
      <c r="C3" s="177">
        <v>39437</v>
      </c>
      <c r="D3" s="141" t="s">
        <v>281</v>
      </c>
      <c r="E3" s="174" t="s">
        <v>41</v>
      </c>
      <c r="F3" s="170" t="s">
        <v>46</v>
      </c>
      <c r="G3" s="175" t="s">
        <v>282</v>
      </c>
      <c r="H3" s="172">
        <v>21500</v>
      </c>
      <c r="I3" s="136" t="s">
        <v>1142</v>
      </c>
    </row>
    <row r="4" spans="1:9" s="73" customFormat="1" ht="60" customHeight="1">
      <c r="A4" s="92">
        <v>2</v>
      </c>
      <c r="B4" s="173" t="s">
        <v>280</v>
      </c>
      <c r="C4" s="177">
        <v>39437</v>
      </c>
      <c r="D4" s="141" t="s">
        <v>281</v>
      </c>
      <c r="E4" s="174" t="s">
        <v>41</v>
      </c>
      <c r="F4" s="170" t="s">
        <v>45</v>
      </c>
      <c r="G4" s="175" t="s">
        <v>282</v>
      </c>
      <c r="H4" s="172">
        <v>21500</v>
      </c>
      <c r="I4" s="136" t="s">
        <v>1142</v>
      </c>
    </row>
    <row r="5" spans="1:9" s="73" customFormat="1" ht="60" customHeight="1">
      <c r="A5" s="92">
        <v>3</v>
      </c>
      <c r="B5" s="168" t="s">
        <v>337</v>
      </c>
      <c r="C5" s="167">
        <v>39444</v>
      </c>
      <c r="D5" s="176" t="s">
        <v>338</v>
      </c>
      <c r="E5" s="170" t="s">
        <v>41</v>
      </c>
      <c r="F5" s="170" t="s">
        <v>44</v>
      </c>
      <c r="G5" s="171" t="s">
        <v>311</v>
      </c>
      <c r="H5" s="172">
        <v>21500</v>
      </c>
      <c r="I5" s="136" t="s">
        <v>1142</v>
      </c>
    </row>
    <row r="6" spans="1:9" s="1" customFormat="1" ht="51">
      <c r="A6" s="92">
        <v>4</v>
      </c>
      <c r="B6" s="168" t="s">
        <v>309</v>
      </c>
      <c r="C6" s="167">
        <v>39541</v>
      </c>
      <c r="D6" s="176" t="s">
        <v>310</v>
      </c>
      <c r="E6" s="170" t="s">
        <v>41</v>
      </c>
      <c r="F6" s="170" t="s">
        <v>42</v>
      </c>
      <c r="G6" s="171" t="s">
        <v>311</v>
      </c>
      <c r="H6" s="172">
        <v>21500</v>
      </c>
      <c r="I6" s="136" t="s">
        <v>1142</v>
      </c>
    </row>
    <row r="7" spans="1:9" s="1" customFormat="1" ht="63.75">
      <c r="A7" s="92">
        <v>5</v>
      </c>
      <c r="B7" s="168" t="s">
        <v>285</v>
      </c>
      <c r="C7" s="167">
        <v>39615</v>
      </c>
      <c r="D7" s="176" t="s">
        <v>286</v>
      </c>
      <c r="E7" s="170" t="s">
        <v>52</v>
      </c>
      <c r="F7" s="170" t="s">
        <v>90</v>
      </c>
      <c r="G7" s="171" t="s">
        <v>272</v>
      </c>
      <c r="H7" s="172">
        <v>21500</v>
      </c>
      <c r="I7" s="136" t="s">
        <v>1142</v>
      </c>
    </row>
    <row r="8" spans="1:9" s="1" customFormat="1" ht="51">
      <c r="A8" s="92">
        <v>6</v>
      </c>
      <c r="B8" s="168" t="s">
        <v>283</v>
      </c>
      <c r="C8" s="167">
        <v>39557</v>
      </c>
      <c r="D8" s="176" t="s">
        <v>284</v>
      </c>
      <c r="E8" s="170" t="s">
        <v>41</v>
      </c>
      <c r="F8" s="170" t="s">
        <v>70</v>
      </c>
      <c r="G8" s="171" t="s">
        <v>275</v>
      </c>
      <c r="H8" s="172">
        <v>21500</v>
      </c>
      <c r="I8" s="136" t="s">
        <v>1142</v>
      </c>
    </row>
    <row r="9" spans="1:9" s="1" customFormat="1" ht="63.75">
      <c r="A9" s="92">
        <v>7</v>
      </c>
      <c r="B9" s="168" t="s">
        <v>270</v>
      </c>
      <c r="C9" s="167">
        <v>39737</v>
      </c>
      <c r="D9" s="176" t="s">
        <v>271</v>
      </c>
      <c r="E9" s="170" t="s">
        <v>52</v>
      </c>
      <c r="F9" s="170" t="s">
        <v>99</v>
      </c>
      <c r="G9" s="171" t="s">
        <v>272</v>
      </c>
      <c r="H9" s="172">
        <v>21500</v>
      </c>
      <c r="I9" s="136" t="s">
        <v>1142</v>
      </c>
    </row>
    <row r="10" spans="1:9" s="1" customFormat="1" ht="51">
      <c r="A10" s="92">
        <v>8</v>
      </c>
      <c r="B10" s="168" t="s">
        <v>318</v>
      </c>
      <c r="C10" s="167">
        <v>39473</v>
      </c>
      <c r="D10" s="176" t="s">
        <v>319</v>
      </c>
      <c r="E10" s="170" t="s">
        <v>41</v>
      </c>
      <c r="F10" s="170">
        <v>101101</v>
      </c>
      <c r="G10" s="171" t="s">
        <v>320</v>
      </c>
      <c r="H10" s="172">
        <v>21500</v>
      </c>
      <c r="I10" s="136" t="s">
        <v>1142</v>
      </c>
    </row>
    <row r="11" spans="1:9" s="1" customFormat="1" ht="51">
      <c r="A11" s="92">
        <v>9</v>
      </c>
      <c r="B11" s="168" t="s">
        <v>305</v>
      </c>
      <c r="C11" s="167">
        <v>39570</v>
      </c>
      <c r="D11" s="176" t="s">
        <v>306</v>
      </c>
      <c r="E11" s="170" t="s">
        <v>41</v>
      </c>
      <c r="F11" s="170">
        <v>101551</v>
      </c>
      <c r="G11" s="171" t="s">
        <v>275</v>
      </c>
      <c r="H11" s="172">
        <v>21500</v>
      </c>
      <c r="I11" s="136" t="s">
        <v>1142</v>
      </c>
    </row>
    <row r="12" spans="1:9" s="1" customFormat="1" ht="63.75">
      <c r="A12" s="92">
        <v>10</v>
      </c>
      <c r="B12" s="168" t="s">
        <v>312</v>
      </c>
      <c r="C12" s="167">
        <v>39821</v>
      </c>
      <c r="D12" s="176" t="s">
        <v>313</v>
      </c>
      <c r="E12" s="170" t="s">
        <v>52</v>
      </c>
      <c r="F12" s="170">
        <v>102289</v>
      </c>
      <c r="G12" s="171" t="s">
        <v>272</v>
      </c>
      <c r="H12" s="172">
        <v>21500</v>
      </c>
      <c r="I12" s="136" t="s">
        <v>1142</v>
      </c>
    </row>
    <row r="13" spans="1:9" s="1" customFormat="1" ht="63.75">
      <c r="A13" s="92">
        <v>11</v>
      </c>
      <c r="B13" s="168" t="s">
        <v>287</v>
      </c>
      <c r="C13" s="167" t="s">
        <v>288</v>
      </c>
      <c r="D13" s="176" t="s">
        <v>289</v>
      </c>
      <c r="E13" s="170" t="s">
        <v>52</v>
      </c>
      <c r="F13" s="170" t="s">
        <v>53</v>
      </c>
      <c r="G13" s="171" t="s">
        <v>272</v>
      </c>
      <c r="H13" s="172">
        <v>22575</v>
      </c>
      <c r="I13" s="136" t="s">
        <v>1142</v>
      </c>
    </row>
    <row r="14" spans="1:9" s="1" customFormat="1" ht="63.75">
      <c r="A14" s="92">
        <v>12</v>
      </c>
      <c r="B14" s="168" t="s">
        <v>278</v>
      </c>
      <c r="C14" s="167">
        <v>39818</v>
      </c>
      <c r="D14" s="176" t="s">
        <v>279</v>
      </c>
      <c r="E14" s="170" t="s">
        <v>52</v>
      </c>
      <c r="F14" s="170">
        <v>102281</v>
      </c>
      <c r="G14" s="171" t="s">
        <v>272</v>
      </c>
      <c r="H14" s="172">
        <v>21500</v>
      </c>
      <c r="I14" s="136" t="s">
        <v>1142</v>
      </c>
    </row>
    <row r="15" spans="1:9" s="1" customFormat="1" ht="63.75">
      <c r="A15" s="92">
        <v>13</v>
      </c>
      <c r="B15" s="168" t="s">
        <v>303</v>
      </c>
      <c r="C15" s="167">
        <v>40052</v>
      </c>
      <c r="D15" s="176" t="s">
        <v>304</v>
      </c>
      <c r="E15" s="170" t="s">
        <v>52</v>
      </c>
      <c r="F15" s="170">
        <v>102293</v>
      </c>
      <c r="G15" s="171" t="s">
        <v>272</v>
      </c>
      <c r="H15" s="172">
        <v>21500</v>
      </c>
      <c r="I15" s="136" t="s">
        <v>1142</v>
      </c>
    </row>
    <row r="16" spans="1:9" s="1" customFormat="1" ht="63.75">
      <c r="A16" s="92">
        <v>14</v>
      </c>
      <c r="B16" s="168" t="s">
        <v>299</v>
      </c>
      <c r="C16" s="167">
        <v>40073</v>
      </c>
      <c r="D16" s="176" t="s">
        <v>300</v>
      </c>
      <c r="E16" s="170" t="s">
        <v>52</v>
      </c>
      <c r="F16" s="170">
        <v>102696</v>
      </c>
      <c r="G16" s="171" t="s">
        <v>272</v>
      </c>
      <c r="H16" s="172">
        <v>21500</v>
      </c>
      <c r="I16" s="136" t="s">
        <v>1142</v>
      </c>
    </row>
    <row r="17" spans="1:10" s="73" customFormat="1" ht="60" customHeight="1">
      <c r="A17" s="92">
        <v>15</v>
      </c>
      <c r="B17" s="173" t="s">
        <v>278</v>
      </c>
      <c r="C17" s="167">
        <v>39818</v>
      </c>
      <c r="D17" s="176" t="s">
        <v>279</v>
      </c>
      <c r="E17" s="169" t="s">
        <v>52</v>
      </c>
      <c r="F17" s="174">
        <v>102284</v>
      </c>
      <c r="G17" s="171" t="s">
        <v>541</v>
      </c>
      <c r="H17" s="172">
        <v>21500</v>
      </c>
      <c r="I17" s="136" t="s">
        <v>1142</v>
      </c>
      <c r="J17" s="1"/>
    </row>
    <row r="18" spans="1:10" s="73" customFormat="1" ht="60" customHeight="1">
      <c r="A18" s="92">
        <v>16</v>
      </c>
      <c r="B18" s="168" t="s">
        <v>301</v>
      </c>
      <c r="C18" s="167">
        <v>39687</v>
      </c>
      <c r="D18" s="141" t="s">
        <v>302</v>
      </c>
      <c r="E18" s="169" t="s">
        <v>52</v>
      </c>
      <c r="F18" s="170" t="s">
        <v>66</v>
      </c>
      <c r="G18" s="171" t="s">
        <v>541</v>
      </c>
      <c r="H18" s="172">
        <v>21500</v>
      </c>
      <c r="I18" s="193" t="s">
        <v>1388</v>
      </c>
    </row>
  </sheetData>
  <printOptions horizontalCentered="1" verticalCentered="1"/>
  <pageMargins left="0" right="0" top="0.25" bottom="0.25" header="0.5" footer="0.5"/>
  <pageSetup paperSize="9" orientation="landscape" verticalDpi="1200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34"/>
  <sheetViews>
    <sheetView topLeftCell="A19" workbookViewId="0">
      <selection activeCell="B2" sqref="B2:F31"/>
    </sheetView>
  </sheetViews>
  <sheetFormatPr defaultColWidth="8.7109375" defaultRowHeight="19.899999999999999" customHeight="1"/>
  <cols>
    <col min="1" max="1" width="6" style="9" bestFit="1" customWidth="1"/>
    <col min="2" max="2" width="23.28515625" style="2" bestFit="1" customWidth="1"/>
    <col min="3" max="3" width="11.140625" style="2" bestFit="1" customWidth="1"/>
    <col min="4" max="4" width="37.7109375" style="2" bestFit="1" customWidth="1"/>
    <col min="5" max="5" width="21.140625" style="13" hidden="1" customWidth="1"/>
    <col min="6" max="6" width="77.5703125" style="2" bestFit="1" customWidth="1"/>
    <col min="7" max="7" width="31.42578125" style="1" customWidth="1"/>
    <col min="8" max="8" width="11.28515625" style="1" bestFit="1" customWidth="1"/>
    <col min="9" max="9" width="18.42578125" style="1" bestFit="1" customWidth="1"/>
    <col min="10" max="10" width="15.7109375" style="1" customWidth="1"/>
    <col min="11" max="11" width="24.7109375" style="1" bestFit="1" customWidth="1"/>
    <col min="12" max="16384" width="8.7109375" style="1"/>
  </cols>
  <sheetData>
    <row r="1" spans="1:6" ht="19.899999999999999" customHeight="1">
      <c r="A1" s="15" t="s">
        <v>348</v>
      </c>
    </row>
    <row r="2" spans="1:6" s="9" customFormat="1" ht="19.899999999999999" customHeight="1">
      <c r="A2" s="19" t="s">
        <v>261</v>
      </c>
      <c r="B2" s="10" t="s">
        <v>0</v>
      </c>
      <c r="C2" s="10" t="s">
        <v>1</v>
      </c>
      <c r="D2" s="10" t="s">
        <v>2</v>
      </c>
      <c r="E2" s="10" t="s">
        <v>3</v>
      </c>
      <c r="F2" s="10" t="s">
        <v>5</v>
      </c>
    </row>
    <row r="3" spans="1:6" ht="19.899999999999999" customHeight="1">
      <c r="A3" s="6">
        <v>1</v>
      </c>
      <c r="B3" s="7" t="s">
        <v>41</v>
      </c>
      <c r="C3" s="7" t="s">
        <v>81</v>
      </c>
      <c r="D3" s="7" t="s">
        <v>82</v>
      </c>
      <c r="E3" s="8" t="s">
        <v>238</v>
      </c>
      <c r="F3" s="7" t="s">
        <v>83</v>
      </c>
    </row>
    <row r="4" spans="1:6" ht="19.899999999999999" customHeight="1">
      <c r="A4" s="6">
        <v>2</v>
      </c>
      <c r="B4" s="7" t="s">
        <v>41</v>
      </c>
      <c r="C4" s="7" t="s">
        <v>71</v>
      </c>
      <c r="D4" s="7" t="s">
        <v>72</v>
      </c>
      <c r="E4" s="8" t="s">
        <v>248</v>
      </c>
      <c r="F4" s="7" t="s">
        <v>31</v>
      </c>
    </row>
    <row r="5" spans="1:6" ht="19.899999999999999" customHeight="1">
      <c r="A5" s="6">
        <v>3</v>
      </c>
      <c r="B5" s="7" t="s">
        <v>41</v>
      </c>
      <c r="C5" s="7" t="s">
        <v>85</v>
      </c>
      <c r="D5" s="7" t="s">
        <v>72</v>
      </c>
      <c r="E5" s="8" t="s">
        <v>238</v>
      </c>
      <c r="F5" s="7" t="s">
        <v>31</v>
      </c>
    </row>
    <row r="6" spans="1:6" ht="19.899999999999999" customHeight="1">
      <c r="A6" s="6">
        <v>4</v>
      </c>
      <c r="B6" s="7" t="s">
        <v>18</v>
      </c>
      <c r="C6" s="7" t="s">
        <v>21</v>
      </c>
      <c r="D6" s="7" t="s">
        <v>22</v>
      </c>
      <c r="E6" s="8" t="s">
        <v>20</v>
      </c>
      <c r="F6" s="7" t="s">
        <v>23</v>
      </c>
    </row>
    <row r="7" spans="1:6" ht="19.899999999999999" customHeight="1">
      <c r="A7" s="6">
        <v>5</v>
      </c>
      <c r="B7" s="7" t="s">
        <v>151</v>
      </c>
      <c r="C7" s="7" t="s">
        <v>152</v>
      </c>
      <c r="D7" s="7" t="s">
        <v>153</v>
      </c>
      <c r="E7" s="8" t="s">
        <v>154</v>
      </c>
      <c r="F7" s="7" t="s">
        <v>155</v>
      </c>
    </row>
    <row r="8" spans="1:6" ht="19.899999999999999" customHeight="1">
      <c r="A8" s="6">
        <v>6</v>
      </c>
      <c r="B8" s="7" t="s">
        <v>176</v>
      </c>
      <c r="C8" s="7" t="s">
        <v>212</v>
      </c>
      <c r="D8" s="7" t="s">
        <v>213</v>
      </c>
      <c r="E8" s="8" t="s">
        <v>237</v>
      </c>
      <c r="F8" s="7" t="s">
        <v>32</v>
      </c>
    </row>
    <row r="9" spans="1:6" ht="19.899999999999999" customHeight="1">
      <c r="A9" s="6">
        <v>7</v>
      </c>
      <c r="B9" s="7" t="s">
        <v>138</v>
      </c>
      <c r="C9" s="7" t="s">
        <v>139</v>
      </c>
      <c r="D9" s="7" t="s">
        <v>33</v>
      </c>
      <c r="E9" s="8" t="s">
        <v>237</v>
      </c>
      <c r="F9" s="7" t="s">
        <v>32</v>
      </c>
    </row>
    <row r="10" spans="1:6" ht="19.899999999999999" customHeight="1">
      <c r="A10" s="6">
        <v>8</v>
      </c>
      <c r="B10" s="14" t="s">
        <v>233</v>
      </c>
      <c r="C10" s="7" t="s">
        <v>234</v>
      </c>
      <c r="D10" s="7" t="s">
        <v>33</v>
      </c>
      <c r="E10" s="8" t="s">
        <v>227</v>
      </c>
      <c r="F10" s="7" t="s">
        <v>10</v>
      </c>
    </row>
    <row r="11" spans="1:6" ht="19.899999999999999" customHeight="1">
      <c r="A11" s="6">
        <v>9</v>
      </c>
      <c r="B11" s="7" t="s">
        <v>214</v>
      </c>
      <c r="C11" s="7" t="s">
        <v>215</v>
      </c>
      <c r="D11" s="7" t="s">
        <v>34</v>
      </c>
      <c r="E11" s="8" t="s">
        <v>236</v>
      </c>
      <c r="F11" s="7" t="s">
        <v>235</v>
      </c>
    </row>
    <row r="12" spans="1:6" ht="19.899999999999999" customHeight="1">
      <c r="A12" s="6">
        <v>10</v>
      </c>
      <c r="B12" s="7" t="s">
        <v>197</v>
      </c>
      <c r="C12" s="7" t="s">
        <v>198</v>
      </c>
      <c r="D12" s="7" t="s">
        <v>34</v>
      </c>
      <c r="E12" s="8" t="s">
        <v>247</v>
      </c>
      <c r="F12" s="7" t="s">
        <v>196</v>
      </c>
    </row>
    <row r="13" spans="1:6" ht="19.899999999999999" customHeight="1">
      <c r="A13" s="6">
        <v>11</v>
      </c>
      <c r="B13" s="7" t="s">
        <v>197</v>
      </c>
      <c r="C13" s="7" t="s">
        <v>199</v>
      </c>
      <c r="D13" s="7" t="s">
        <v>34</v>
      </c>
      <c r="E13" s="8" t="s">
        <v>246</v>
      </c>
      <c r="F13" s="7" t="s">
        <v>196</v>
      </c>
    </row>
    <row r="14" spans="1:6" ht="19.899999999999999" customHeight="1">
      <c r="A14" s="6">
        <v>12</v>
      </c>
      <c r="B14" s="7" t="s">
        <v>106</v>
      </c>
      <c r="C14" s="7" t="s">
        <v>107</v>
      </c>
      <c r="D14" s="7" t="s">
        <v>108</v>
      </c>
      <c r="E14" s="8" t="s">
        <v>246</v>
      </c>
      <c r="F14" s="7" t="s">
        <v>196</v>
      </c>
    </row>
    <row r="15" spans="1:6" ht="19.899999999999999" customHeight="1">
      <c r="A15" s="6">
        <v>13</v>
      </c>
      <c r="B15" s="7" t="s">
        <v>106</v>
      </c>
      <c r="C15" s="7" t="s">
        <v>114</v>
      </c>
      <c r="D15" s="7" t="s">
        <v>108</v>
      </c>
      <c r="E15" s="8" t="s">
        <v>245</v>
      </c>
      <c r="F15" s="7" t="s">
        <v>109</v>
      </c>
    </row>
    <row r="16" spans="1:6" ht="19.899999999999999" customHeight="1">
      <c r="A16" s="6">
        <v>14</v>
      </c>
      <c r="B16" s="7" t="s">
        <v>191</v>
      </c>
      <c r="C16" s="7" t="s">
        <v>192</v>
      </c>
      <c r="D16" s="7" t="s">
        <v>108</v>
      </c>
      <c r="E16" s="8" t="s">
        <v>245</v>
      </c>
      <c r="F16" s="7" t="s">
        <v>115</v>
      </c>
    </row>
    <row r="17" spans="1:6" ht="19.899999999999999" customHeight="1">
      <c r="A17" s="6">
        <v>15</v>
      </c>
      <c r="B17" s="7" t="s">
        <v>112</v>
      </c>
      <c r="C17" s="7" t="s">
        <v>144</v>
      </c>
      <c r="D17" s="7" t="s">
        <v>145</v>
      </c>
      <c r="E17" s="8" t="s">
        <v>65</v>
      </c>
      <c r="F17" s="7" t="s">
        <v>115</v>
      </c>
    </row>
    <row r="18" spans="1:6" ht="19.899999999999999" customHeight="1">
      <c r="A18" s="6">
        <v>16</v>
      </c>
      <c r="B18" s="7" t="s">
        <v>112</v>
      </c>
      <c r="C18" s="7" t="s">
        <v>120</v>
      </c>
      <c r="D18" s="7" t="s">
        <v>122</v>
      </c>
      <c r="E18" s="8" t="s">
        <v>244</v>
      </c>
      <c r="F18" s="7" t="s">
        <v>146</v>
      </c>
    </row>
    <row r="19" spans="1:6" ht="19.899999999999999" customHeight="1">
      <c r="A19" s="6">
        <v>17</v>
      </c>
      <c r="B19" s="7" t="s">
        <v>112</v>
      </c>
      <c r="C19" s="7" t="s">
        <v>121</v>
      </c>
      <c r="D19" s="7" t="s">
        <v>122</v>
      </c>
      <c r="E19" s="8" t="s">
        <v>243</v>
      </c>
      <c r="F19" s="7" t="s">
        <v>11</v>
      </c>
    </row>
    <row r="20" spans="1:6" ht="19.899999999999999" customHeight="1">
      <c r="A20" s="6">
        <v>18</v>
      </c>
      <c r="B20" s="7" t="s">
        <v>112</v>
      </c>
      <c r="C20" s="7" t="s">
        <v>123</v>
      </c>
      <c r="D20" s="7" t="s">
        <v>122</v>
      </c>
      <c r="E20" s="8" t="s">
        <v>242</v>
      </c>
      <c r="F20" s="7" t="s">
        <v>11</v>
      </c>
    </row>
    <row r="21" spans="1:6" ht="19.899999999999999" customHeight="1">
      <c r="A21" s="6">
        <v>19</v>
      </c>
      <c r="B21" s="7" t="s">
        <v>112</v>
      </c>
      <c r="C21" s="7" t="s">
        <v>125</v>
      </c>
      <c r="D21" s="7" t="s">
        <v>122</v>
      </c>
      <c r="E21" s="8" t="s">
        <v>242</v>
      </c>
      <c r="F21" s="7" t="s">
        <v>11</v>
      </c>
    </row>
    <row r="22" spans="1:6" ht="19.899999999999999" customHeight="1">
      <c r="A22" s="6">
        <v>20</v>
      </c>
      <c r="B22" s="7" t="s">
        <v>39</v>
      </c>
      <c r="C22" s="7" t="s">
        <v>140</v>
      </c>
      <c r="D22" s="7" t="s">
        <v>122</v>
      </c>
      <c r="E22" s="8" t="s">
        <v>242</v>
      </c>
      <c r="F22" s="7" t="s">
        <v>11</v>
      </c>
    </row>
    <row r="23" spans="1:6" ht="19.899999999999999" customHeight="1">
      <c r="A23" s="6">
        <v>21</v>
      </c>
      <c r="B23" s="7" t="s">
        <v>39</v>
      </c>
      <c r="C23" s="7" t="s">
        <v>141</v>
      </c>
      <c r="D23" s="7" t="s">
        <v>122</v>
      </c>
      <c r="E23" s="8" t="s">
        <v>242</v>
      </c>
      <c r="F23" s="7" t="s">
        <v>11</v>
      </c>
    </row>
    <row r="24" spans="1:6" ht="19.899999999999999" customHeight="1">
      <c r="A24" s="6">
        <v>22</v>
      </c>
      <c r="B24" s="7" t="s">
        <v>39</v>
      </c>
      <c r="C24" s="7" t="s">
        <v>142</v>
      </c>
      <c r="D24" s="7" t="s">
        <v>122</v>
      </c>
      <c r="E24" s="8" t="s">
        <v>242</v>
      </c>
      <c r="F24" s="7" t="s">
        <v>11</v>
      </c>
    </row>
    <row r="25" spans="1:6" ht="19.899999999999999" customHeight="1">
      <c r="A25" s="6">
        <v>23</v>
      </c>
      <c r="B25" s="7" t="s">
        <v>39</v>
      </c>
      <c r="C25" s="7" t="s">
        <v>143</v>
      </c>
      <c r="D25" s="7" t="s">
        <v>122</v>
      </c>
      <c r="E25" s="8" t="s">
        <v>242</v>
      </c>
      <c r="F25" s="7" t="s">
        <v>11</v>
      </c>
    </row>
    <row r="26" spans="1:6" ht="19.899999999999999" customHeight="1">
      <c r="A26" s="6">
        <v>24</v>
      </c>
      <c r="B26" s="7" t="s">
        <v>112</v>
      </c>
      <c r="C26" s="7" t="s">
        <v>118</v>
      </c>
      <c r="D26" s="7" t="s">
        <v>35</v>
      </c>
      <c r="E26" s="8" t="s">
        <v>242</v>
      </c>
      <c r="F26" s="7" t="s">
        <v>11</v>
      </c>
    </row>
    <row r="27" spans="1:6" ht="19.899999999999999" customHeight="1">
      <c r="A27" s="6">
        <v>25</v>
      </c>
      <c r="B27" s="7" t="s">
        <v>200</v>
      </c>
      <c r="C27" s="7" t="s">
        <v>201</v>
      </c>
      <c r="D27" s="7" t="s">
        <v>202</v>
      </c>
      <c r="E27" s="8" t="s">
        <v>241</v>
      </c>
      <c r="F27" s="7" t="s">
        <v>10</v>
      </c>
    </row>
    <row r="28" spans="1:6" ht="19.899999999999999" customHeight="1">
      <c r="A28" s="6">
        <v>26</v>
      </c>
      <c r="B28" s="7" t="s">
        <v>147</v>
      </c>
      <c r="C28" s="7" t="s">
        <v>148</v>
      </c>
      <c r="D28" s="7" t="s">
        <v>149</v>
      </c>
      <c r="E28" s="8" t="s">
        <v>240</v>
      </c>
      <c r="F28" s="7" t="s">
        <v>10</v>
      </c>
    </row>
    <row r="29" spans="1:6" ht="19.899999999999999" customHeight="1">
      <c r="A29" s="6">
        <v>27</v>
      </c>
      <c r="B29" s="7" t="s">
        <v>41</v>
      </c>
      <c r="C29" s="18" t="s">
        <v>75</v>
      </c>
      <c r="D29" s="7" t="s">
        <v>76</v>
      </c>
      <c r="E29" s="8" t="s">
        <v>239</v>
      </c>
      <c r="F29" s="7" t="s">
        <v>150</v>
      </c>
    </row>
    <row r="30" spans="1:6" ht="19.899999999999999" customHeight="1">
      <c r="A30" s="6">
        <v>28</v>
      </c>
      <c r="B30" s="16" t="s">
        <v>39</v>
      </c>
      <c r="C30" s="16" t="s">
        <v>100</v>
      </c>
      <c r="D30" s="16" t="s">
        <v>205</v>
      </c>
      <c r="E30" s="8" t="s">
        <v>238</v>
      </c>
      <c r="F30" s="7" t="s">
        <v>31</v>
      </c>
    </row>
    <row r="31" spans="1:6" ht="19.899999999999999" customHeight="1">
      <c r="A31" s="6">
        <v>29</v>
      </c>
      <c r="B31" s="16" t="s">
        <v>203</v>
      </c>
      <c r="C31" s="16" t="s">
        <v>204</v>
      </c>
      <c r="D31" s="16" t="s">
        <v>205</v>
      </c>
    </row>
    <row r="32" spans="1:6" ht="19.899999999999999" customHeight="1">
      <c r="A32" s="11"/>
    </row>
    <row r="33" spans="1:1" ht="19.899999999999999" customHeight="1">
      <c r="A33" s="11"/>
    </row>
    <row r="34" spans="1:1" ht="19.899999999999999" customHeight="1">
      <c r="A34" s="11"/>
    </row>
  </sheetData>
  <phoneticPr fontId="4" type="noConversion"/>
  <pageMargins left="0.7" right="0.7" top="0.75" bottom="0.75" header="0.3" footer="0.3"/>
  <pageSetup paperSize="9" orientation="portrait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39997558519241921"/>
  </sheetPr>
  <dimension ref="A1:I405"/>
  <sheetViews>
    <sheetView topLeftCell="A30" workbookViewId="0">
      <selection activeCell="F43" sqref="F43"/>
    </sheetView>
  </sheetViews>
  <sheetFormatPr defaultColWidth="8.85546875" defaultRowHeight="18" customHeight="1"/>
  <cols>
    <col min="1" max="1" width="5.7109375" style="253" customWidth="1"/>
    <col min="2" max="2" width="31.28515625" style="245" bestFit="1" customWidth="1"/>
    <col min="3" max="3" width="56.28515625" style="245" bestFit="1" customWidth="1"/>
    <col min="4" max="4" width="14" style="245" bestFit="1" customWidth="1"/>
    <col min="5" max="5" width="52.7109375" style="261" bestFit="1" customWidth="1"/>
    <col min="6" max="6" width="16.7109375" style="245" customWidth="1"/>
    <col min="7" max="7" width="17.28515625" style="253" bestFit="1" customWidth="1"/>
    <col min="8" max="8" width="16.28515625" style="245" bestFit="1" customWidth="1"/>
    <col min="9" max="9" width="77" style="245" bestFit="1" customWidth="1"/>
    <col min="10" max="16384" width="8.85546875" style="245"/>
  </cols>
  <sheetData>
    <row r="1" spans="1:7" s="227" customFormat="1" ht="18" customHeight="1">
      <c r="A1" s="227" t="s">
        <v>745</v>
      </c>
      <c r="B1" s="228"/>
      <c r="C1" s="229"/>
      <c r="E1" s="230">
        <v>44012</v>
      </c>
      <c r="G1" s="231"/>
    </row>
    <row r="2" spans="1:7" s="238" customFormat="1" ht="18" customHeight="1">
      <c r="A2" s="232" t="s">
        <v>261</v>
      </c>
      <c r="B2" s="233" t="s">
        <v>1</v>
      </c>
      <c r="C2" s="234" t="s">
        <v>0</v>
      </c>
      <c r="D2" s="235" t="s">
        <v>206</v>
      </c>
      <c r="E2" s="236" t="s">
        <v>2</v>
      </c>
      <c r="F2" s="237" t="s">
        <v>483</v>
      </c>
      <c r="G2" s="237" t="s">
        <v>1499</v>
      </c>
    </row>
    <row r="3" spans="1:7" ht="18" customHeight="1">
      <c r="A3" s="239">
        <v>1</v>
      </c>
      <c r="B3" s="240" t="s">
        <v>389</v>
      </c>
      <c r="C3" s="241" t="s">
        <v>357</v>
      </c>
      <c r="D3" s="242">
        <v>379</v>
      </c>
      <c r="E3" s="243" t="s">
        <v>1500</v>
      </c>
      <c r="F3" s="240"/>
      <c r="G3" s="244" t="s">
        <v>1102</v>
      </c>
    </row>
    <row r="4" spans="1:7" ht="18" customHeight="1">
      <c r="A4" s="239">
        <v>2</v>
      </c>
      <c r="B4" s="240" t="s">
        <v>388</v>
      </c>
      <c r="C4" s="241" t="s">
        <v>357</v>
      </c>
      <c r="D4" s="242">
        <v>379</v>
      </c>
      <c r="E4" s="243" t="s">
        <v>1501</v>
      </c>
      <c r="F4" s="240"/>
      <c r="G4" s="244" t="s">
        <v>1099</v>
      </c>
    </row>
    <row r="5" spans="1:7" ht="18" customHeight="1">
      <c r="A5" s="239">
        <v>3</v>
      </c>
      <c r="B5" s="240" t="s">
        <v>379</v>
      </c>
      <c r="C5" s="241" t="s">
        <v>357</v>
      </c>
      <c r="D5" s="242">
        <v>379</v>
      </c>
      <c r="E5" s="243" t="s">
        <v>567</v>
      </c>
      <c r="F5" s="240"/>
      <c r="G5" s="244" t="s">
        <v>1096</v>
      </c>
    </row>
    <row r="6" spans="1:7" ht="18" customHeight="1">
      <c r="A6" s="239">
        <v>4</v>
      </c>
      <c r="B6" s="240" t="s">
        <v>378</v>
      </c>
      <c r="C6" s="241" t="s">
        <v>357</v>
      </c>
      <c r="D6" s="242">
        <v>379</v>
      </c>
      <c r="E6" s="243" t="s">
        <v>989</v>
      </c>
      <c r="F6" s="240"/>
      <c r="G6" s="244" t="s">
        <v>1502</v>
      </c>
    </row>
    <row r="7" spans="1:7" ht="18" customHeight="1">
      <c r="A7" s="239">
        <v>5</v>
      </c>
      <c r="B7" s="240" t="s">
        <v>377</v>
      </c>
      <c r="C7" s="241" t="s">
        <v>357</v>
      </c>
      <c r="D7" s="242">
        <v>379</v>
      </c>
      <c r="E7" s="246" t="s">
        <v>997</v>
      </c>
      <c r="F7" s="247"/>
      <c r="G7" s="247" t="s">
        <v>1087</v>
      </c>
    </row>
    <row r="8" spans="1:7" ht="18" customHeight="1">
      <c r="A8" s="239">
        <v>6</v>
      </c>
      <c r="B8" s="240" t="s">
        <v>376</v>
      </c>
      <c r="C8" s="241" t="s">
        <v>357</v>
      </c>
      <c r="D8" s="242">
        <v>379</v>
      </c>
      <c r="E8" s="243" t="s">
        <v>444</v>
      </c>
      <c r="F8" s="240"/>
      <c r="G8" s="244" t="s">
        <v>1106</v>
      </c>
    </row>
    <row r="9" spans="1:7" ht="18" customHeight="1">
      <c r="A9" s="239">
        <v>7</v>
      </c>
      <c r="B9" s="240" t="s">
        <v>374</v>
      </c>
      <c r="C9" s="241" t="s">
        <v>357</v>
      </c>
      <c r="D9" s="242">
        <v>379</v>
      </c>
      <c r="E9" s="243" t="s">
        <v>1503</v>
      </c>
      <c r="F9" s="240"/>
      <c r="G9" s="244" t="s">
        <v>1108</v>
      </c>
    </row>
    <row r="10" spans="1:7" ht="18" customHeight="1">
      <c r="A10" s="239">
        <v>8</v>
      </c>
      <c r="B10" s="240" t="s">
        <v>373</v>
      </c>
      <c r="C10" s="241" t="s">
        <v>357</v>
      </c>
      <c r="D10" s="242">
        <v>379</v>
      </c>
      <c r="E10" s="243" t="s">
        <v>614</v>
      </c>
      <c r="F10" s="240"/>
      <c r="G10" s="244" t="s">
        <v>1105</v>
      </c>
    </row>
    <row r="11" spans="1:7" ht="18" customHeight="1">
      <c r="A11" s="239">
        <v>9</v>
      </c>
      <c r="B11" s="240" t="s">
        <v>372</v>
      </c>
      <c r="C11" s="241" t="s">
        <v>363</v>
      </c>
      <c r="D11" s="242">
        <v>310</v>
      </c>
      <c r="E11" s="243" t="s">
        <v>1248</v>
      </c>
      <c r="F11" s="240"/>
      <c r="G11" s="244"/>
    </row>
    <row r="12" spans="1:7" ht="18" customHeight="1">
      <c r="A12" s="239">
        <v>10</v>
      </c>
      <c r="B12" s="240" t="s">
        <v>371</v>
      </c>
      <c r="C12" s="241" t="s">
        <v>363</v>
      </c>
      <c r="D12" s="242">
        <v>310</v>
      </c>
      <c r="E12" s="243" t="s">
        <v>1250</v>
      </c>
      <c r="F12" s="240" t="s">
        <v>10</v>
      </c>
      <c r="G12" s="244"/>
    </row>
    <row r="13" spans="1:7" ht="18" customHeight="1">
      <c r="A13" s="239">
        <v>11</v>
      </c>
      <c r="B13" s="240" t="s">
        <v>370</v>
      </c>
      <c r="C13" s="241" t="s">
        <v>363</v>
      </c>
      <c r="D13" s="242">
        <v>310</v>
      </c>
      <c r="E13" s="248" t="s">
        <v>1122</v>
      </c>
      <c r="F13" s="247" t="s">
        <v>1080</v>
      </c>
      <c r="G13" s="247" t="s">
        <v>1081</v>
      </c>
    </row>
    <row r="14" spans="1:7" ht="18" customHeight="1">
      <c r="A14" s="239">
        <v>12</v>
      </c>
      <c r="B14" s="240" t="s">
        <v>369</v>
      </c>
      <c r="C14" s="241" t="s">
        <v>363</v>
      </c>
      <c r="D14" s="242">
        <v>310</v>
      </c>
      <c r="E14" s="243" t="s">
        <v>992</v>
      </c>
      <c r="F14" s="240" t="s">
        <v>10</v>
      </c>
      <c r="G14" s="244"/>
    </row>
    <row r="15" spans="1:7" ht="18" customHeight="1">
      <c r="A15" s="239">
        <v>13</v>
      </c>
      <c r="B15" s="240" t="s">
        <v>368</v>
      </c>
      <c r="C15" s="241" t="s">
        <v>363</v>
      </c>
      <c r="D15" s="242">
        <v>310</v>
      </c>
      <c r="E15" s="243" t="s">
        <v>993</v>
      </c>
      <c r="F15" s="240" t="s">
        <v>10</v>
      </c>
      <c r="G15" s="244"/>
    </row>
    <row r="16" spans="1:7" ht="18" customHeight="1">
      <c r="A16" s="239">
        <v>14</v>
      </c>
      <c r="B16" s="240" t="s">
        <v>367</v>
      </c>
      <c r="C16" s="241" t="s">
        <v>363</v>
      </c>
      <c r="D16" s="242">
        <v>310</v>
      </c>
      <c r="E16" s="243" t="s">
        <v>1402</v>
      </c>
      <c r="F16" s="247"/>
      <c r="G16" s="247" t="s">
        <v>1100</v>
      </c>
    </row>
    <row r="17" spans="1:7" ht="18" customHeight="1">
      <c r="A17" s="239">
        <v>15</v>
      </c>
      <c r="B17" s="240" t="s">
        <v>366</v>
      </c>
      <c r="C17" s="241" t="s">
        <v>363</v>
      </c>
      <c r="D17" s="242">
        <v>310</v>
      </c>
      <c r="E17" s="243" t="s">
        <v>1504</v>
      </c>
      <c r="F17" s="240" t="s">
        <v>10</v>
      </c>
      <c r="G17" s="244" t="s">
        <v>1103</v>
      </c>
    </row>
    <row r="18" spans="1:7" ht="18" customHeight="1">
      <c r="A18" s="239">
        <v>16</v>
      </c>
      <c r="B18" s="240" t="s">
        <v>365</v>
      </c>
      <c r="C18" s="241" t="s">
        <v>363</v>
      </c>
      <c r="D18" s="242">
        <v>310</v>
      </c>
      <c r="E18" s="243" t="s">
        <v>1505</v>
      </c>
      <c r="F18" s="240" t="s">
        <v>10</v>
      </c>
      <c r="G18" s="244"/>
    </row>
    <row r="19" spans="1:7" ht="18" customHeight="1">
      <c r="A19" s="239">
        <v>17</v>
      </c>
      <c r="B19" s="240" t="s">
        <v>364</v>
      </c>
      <c r="C19" s="241" t="s">
        <v>363</v>
      </c>
      <c r="D19" s="242">
        <v>310</v>
      </c>
      <c r="E19" s="243" t="s">
        <v>1505</v>
      </c>
      <c r="F19" s="240" t="s">
        <v>10</v>
      </c>
      <c r="G19" s="244"/>
    </row>
    <row r="20" spans="1:7" ht="18" customHeight="1">
      <c r="A20" s="239">
        <v>18</v>
      </c>
      <c r="B20" s="240" t="s">
        <v>362</v>
      </c>
      <c r="C20" s="241" t="s">
        <v>363</v>
      </c>
      <c r="D20" s="242">
        <v>310</v>
      </c>
      <c r="E20" s="243" t="s">
        <v>1505</v>
      </c>
      <c r="F20" s="240" t="s">
        <v>10</v>
      </c>
      <c r="G20" s="244"/>
    </row>
    <row r="21" spans="1:7" ht="18" customHeight="1">
      <c r="A21" s="239">
        <v>19</v>
      </c>
      <c r="B21" s="240" t="s">
        <v>387</v>
      </c>
      <c r="C21" s="241" t="s">
        <v>357</v>
      </c>
      <c r="D21" s="242">
        <v>385</v>
      </c>
      <c r="E21" s="248" t="s">
        <v>1140</v>
      </c>
      <c r="F21" s="247" t="s">
        <v>10</v>
      </c>
      <c r="G21" s="247" t="s">
        <v>890</v>
      </c>
    </row>
    <row r="22" spans="1:7" ht="18" customHeight="1">
      <c r="A22" s="239">
        <v>20</v>
      </c>
      <c r="B22" s="240" t="s">
        <v>386</v>
      </c>
      <c r="C22" s="241" t="s">
        <v>357</v>
      </c>
      <c r="D22" s="242">
        <v>385</v>
      </c>
      <c r="E22" s="246" t="s">
        <v>999</v>
      </c>
      <c r="F22" s="247"/>
      <c r="G22" s="247" t="s">
        <v>1090</v>
      </c>
    </row>
    <row r="23" spans="1:7" ht="18" customHeight="1">
      <c r="A23" s="239">
        <v>21</v>
      </c>
      <c r="B23" s="240" t="s">
        <v>385</v>
      </c>
      <c r="C23" s="241" t="s">
        <v>357</v>
      </c>
      <c r="D23" s="242">
        <v>385</v>
      </c>
      <c r="E23" s="243" t="s">
        <v>612</v>
      </c>
      <c r="F23" s="240" t="s">
        <v>10</v>
      </c>
      <c r="G23" s="244"/>
    </row>
    <row r="24" spans="1:7" ht="18" customHeight="1">
      <c r="A24" s="239">
        <v>22</v>
      </c>
      <c r="B24" s="240" t="s">
        <v>384</v>
      </c>
      <c r="C24" s="241" t="s">
        <v>357</v>
      </c>
      <c r="D24" s="242">
        <v>385</v>
      </c>
      <c r="E24" s="243" t="s">
        <v>613</v>
      </c>
      <c r="F24" s="240" t="s">
        <v>10</v>
      </c>
      <c r="G24" s="244"/>
    </row>
    <row r="25" spans="1:7" ht="18" customHeight="1">
      <c r="A25" s="239">
        <v>23</v>
      </c>
      <c r="B25" s="240" t="s">
        <v>383</v>
      </c>
      <c r="C25" s="241" t="s">
        <v>357</v>
      </c>
      <c r="D25" s="242">
        <v>385</v>
      </c>
      <c r="E25" s="243" t="s">
        <v>994</v>
      </c>
      <c r="F25" s="240" t="s">
        <v>10</v>
      </c>
      <c r="G25" s="244"/>
    </row>
    <row r="26" spans="1:7" ht="18" customHeight="1">
      <c r="A26" s="239">
        <v>24</v>
      </c>
      <c r="B26" s="240" t="s">
        <v>361</v>
      </c>
      <c r="C26" s="241" t="s">
        <v>357</v>
      </c>
      <c r="D26" s="242">
        <v>385</v>
      </c>
      <c r="E26" s="248" t="s">
        <v>796</v>
      </c>
      <c r="F26" s="247" t="s">
        <v>809</v>
      </c>
      <c r="G26" s="247" t="s">
        <v>810</v>
      </c>
    </row>
    <row r="27" spans="1:7" ht="18" customHeight="1">
      <c r="A27" s="239">
        <v>25</v>
      </c>
      <c r="B27" s="240" t="s">
        <v>360</v>
      </c>
      <c r="C27" s="241" t="s">
        <v>357</v>
      </c>
      <c r="D27" s="242">
        <v>385</v>
      </c>
      <c r="E27" s="243" t="s">
        <v>995</v>
      </c>
      <c r="F27" s="240" t="s">
        <v>10</v>
      </c>
      <c r="G27" s="244"/>
    </row>
    <row r="28" spans="1:7" ht="18" customHeight="1">
      <c r="A28" s="239">
        <v>26</v>
      </c>
      <c r="B28" s="240" t="s">
        <v>359</v>
      </c>
      <c r="C28" s="241" t="s">
        <v>357</v>
      </c>
      <c r="D28" s="242">
        <v>385</v>
      </c>
      <c r="E28" s="243" t="s">
        <v>996</v>
      </c>
      <c r="F28" s="240" t="s">
        <v>10</v>
      </c>
      <c r="G28" s="244"/>
    </row>
    <row r="29" spans="1:7" ht="18" customHeight="1">
      <c r="A29" s="239">
        <v>27</v>
      </c>
      <c r="B29" s="240" t="s">
        <v>358</v>
      </c>
      <c r="C29" s="241" t="s">
        <v>357</v>
      </c>
      <c r="D29" s="242">
        <v>385</v>
      </c>
      <c r="E29" s="243" t="s">
        <v>1009</v>
      </c>
      <c r="F29" s="240"/>
      <c r="G29" s="244" t="s">
        <v>742</v>
      </c>
    </row>
    <row r="30" spans="1:7" ht="18" customHeight="1">
      <c r="A30" s="239">
        <v>28</v>
      </c>
      <c r="B30" s="240" t="s">
        <v>356</v>
      </c>
      <c r="C30" s="241" t="s">
        <v>357</v>
      </c>
      <c r="D30" s="242">
        <v>385</v>
      </c>
      <c r="E30" s="243" t="s">
        <v>1501</v>
      </c>
      <c r="F30" s="240" t="s">
        <v>10</v>
      </c>
      <c r="G30" s="244" t="s">
        <v>1109</v>
      </c>
    </row>
    <row r="31" spans="1:7" ht="18" customHeight="1">
      <c r="A31" s="239">
        <v>29</v>
      </c>
      <c r="B31" s="240" t="s">
        <v>442</v>
      </c>
      <c r="C31" s="241" t="s">
        <v>363</v>
      </c>
      <c r="D31" s="242">
        <v>310</v>
      </c>
      <c r="E31" s="243" t="s">
        <v>1010</v>
      </c>
      <c r="F31" s="247" t="s">
        <v>1239</v>
      </c>
      <c r="G31" s="239" t="s">
        <v>1104</v>
      </c>
    </row>
    <row r="32" spans="1:7" ht="18" customHeight="1">
      <c r="A32" s="239">
        <v>30</v>
      </c>
      <c r="B32" s="240" t="s">
        <v>441</v>
      </c>
      <c r="C32" s="241" t="s">
        <v>363</v>
      </c>
      <c r="D32" s="242">
        <v>310</v>
      </c>
      <c r="E32" s="243" t="s">
        <v>1011</v>
      </c>
      <c r="F32" s="240"/>
      <c r="G32" s="244"/>
    </row>
    <row r="33" spans="1:8" ht="18" customHeight="1">
      <c r="A33" s="239">
        <v>31</v>
      </c>
      <c r="B33" s="240" t="s">
        <v>440</v>
      </c>
      <c r="C33" s="241" t="s">
        <v>363</v>
      </c>
      <c r="D33" s="242">
        <v>310</v>
      </c>
      <c r="E33" s="248" t="s">
        <v>1139</v>
      </c>
      <c r="F33" s="247" t="s">
        <v>1125</v>
      </c>
      <c r="G33" s="247" t="s">
        <v>1101</v>
      </c>
    </row>
    <row r="34" spans="1:8" ht="18" customHeight="1">
      <c r="A34" s="239">
        <v>32</v>
      </c>
      <c r="B34" s="240" t="s">
        <v>439</v>
      </c>
      <c r="C34" s="241" t="s">
        <v>363</v>
      </c>
      <c r="D34" s="242">
        <v>310</v>
      </c>
      <c r="E34" s="243" t="s">
        <v>1013</v>
      </c>
      <c r="F34" s="240"/>
      <c r="G34" s="244"/>
    </row>
    <row r="35" spans="1:8" ht="18" customHeight="1">
      <c r="A35" s="239">
        <v>33</v>
      </c>
      <c r="B35" s="240" t="s">
        <v>438</v>
      </c>
      <c r="C35" s="241" t="s">
        <v>363</v>
      </c>
      <c r="D35" s="242">
        <v>310</v>
      </c>
      <c r="E35" s="243" t="s">
        <v>1503</v>
      </c>
      <c r="F35" s="240"/>
      <c r="G35" s="244" t="s">
        <v>1091</v>
      </c>
    </row>
    <row r="36" spans="1:8" ht="18" customHeight="1">
      <c r="A36" s="239">
        <v>34</v>
      </c>
      <c r="B36" s="240" t="s">
        <v>437</v>
      </c>
      <c r="C36" s="241" t="s">
        <v>363</v>
      </c>
      <c r="D36" s="242">
        <v>310</v>
      </c>
      <c r="E36" s="248" t="s">
        <v>1138</v>
      </c>
      <c r="F36" s="247" t="s">
        <v>1126</v>
      </c>
      <c r="G36" s="247" t="s">
        <v>742</v>
      </c>
    </row>
    <row r="37" spans="1:8" ht="18" customHeight="1">
      <c r="A37" s="239">
        <v>35</v>
      </c>
      <c r="B37" s="240" t="s">
        <v>436</v>
      </c>
      <c r="C37" s="241" t="s">
        <v>363</v>
      </c>
      <c r="D37" s="242">
        <v>310</v>
      </c>
      <c r="E37" s="246" t="s">
        <v>1000</v>
      </c>
      <c r="F37" s="240"/>
      <c r="G37" s="244" t="s">
        <v>1092</v>
      </c>
    </row>
    <row r="38" spans="1:8" ht="18" customHeight="1">
      <c r="A38" s="239">
        <v>36</v>
      </c>
      <c r="B38" s="240" t="s">
        <v>435</v>
      </c>
      <c r="C38" s="241" t="s">
        <v>363</v>
      </c>
      <c r="D38" s="242">
        <v>310</v>
      </c>
      <c r="E38" s="248" t="s">
        <v>1319</v>
      </c>
      <c r="F38" s="247" t="s">
        <v>1160</v>
      </c>
      <c r="G38" s="239" t="s">
        <v>1107</v>
      </c>
    </row>
    <row r="39" spans="1:8" ht="18" customHeight="1">
      <c r="A39" s="239">
        <v>37</v>
      </c>
      <c r="B39" s="240" t="s">
        <v>434</v>
      </c>
      <c r="C39" s="241" t="s">
        <v>363</v>
      </c>
      <c r="D39" s="242">
        <v>305</v>
      </c>
      <c r="E39" s="246" t="s">
        <v>1001</v>
      </c>
      <c r="F39" s="240"/>
      <c r="G39" s="244" t="s">
        <v>1088</v>
      </c>
    </row>
    <row r="40" spans="1:8" ht="18" customHeight="1">
      <c r="A40" s="239">
        <v>38</v>
      </c>
      <c r="B40" s="240" t="s">
        <v>433</v>
      </c>
      <c r="C40" s="241" t="s">
        <v>363</v>
      </c>
      <c r="D40" s="242">
        <v>305</v>
      </c>
      <c r="E40" s="248" t="s">
        <v>831</v>
      </c>
      <c r="F40" s="247" t="s">
        <v>812</v>
      </c>
      <c r="G40" s="247" t="s">
        <v>813</v>
      </c>
    </row>
    <row r="41" spans="1:8" ht="18" customHeight="1">
      <c r="A41" s="239">
        <v>39</v>
      </c>
      <c r="B41" s="240" t="s">
        <v>432</v>
      </c>
      <c r="C41" s="241" t="s">
        <v>363</v>
      </c>
      <c r="D41" s="242">
        <v>305</v>
      </c>
      <c r="E41" s="246" t="s">
        <v>1002</v>
      </c>
      <c r="F41" s="240"/>
      <c r="G41" s="244" t="s">
        <v>1086</v>
      </c>
    </row>
    <row r="42" spans="1:8" ht="18" customHeight="1">
      <c r="A42" s="239">
        <v>40</v>
      </c>
      <c r="B42" s="240" t="s">
        <v>431</v>
      </c>
      <c r="C42" s="241" t="s">
        <v>363</v>
      </c>
      <c r="D42" s="242">
        <v>305</v>
      </c>
      <c r="E42" s="246" t="s">
        <v>1003</v>
      </c>
      <c r="F42" s="240"/>
      <c r="G42" s="244" t="s">
        <v>1083</v>
      </c>
    </row>
    <row r="43" spans="1:8" ht="18" customHeight="1">
      <c r="A43" s="239">
        <v>41</v>
      </c>
      <c r="B43" s="240" t="s">
        <v>430</v>
      </c>
      <c r="C43" s="241" t="s">
        <v>363</v>
      </c>
      <c r="D43" s="242">
        <v>305</v>
      </c>
      <c r="E43" s="246" t="s">
        <v>1004</v>
      </c>
      <c r="F43" s="247" t="s">
        <v>797</v>
      </c>
      <c r="G43" s="247" t="s">
        <v>798</v>
      </c>
    </row>
    <row r="44" spans="1:8" ht="18" customHeight="1">
      <c r="A44" s="239">
        <v>42</v>
      </c>
      <c r="B44" s="240" t="s">
        <v>429</v>
      </c>
      <c r="C44" s="241" t="s">
        <v>363</v>
      </c>
      <c r="D44" s="242">
        <v>305</v>
      </c>
      <c r="E44" s="248" t="s">
        <v>1240</v>
      </c>
      <c r="F44" s="247" t="s">
        <v>811</v>
      </c>
      <c r="G44" s="247" t="s">
        <v>788</v>
      </c>
    </row>
    <row r="45" spans="1:8" ht="18" customHeight="1">
      <c r="A45" s="239">
        <v>43</v>
      </c>
      <c r="B45" s="240" t="s">
        <v>428</v>
      </c>
      <c r="C45" s="241" t="s">
        <v>363</v>
      </c>
      <c r="D45" s="242">
        <v>305</v>
      </c>
      <c r="E45" s="243" t="s">
        <v>903</v>
      </c>
      <c r="F45" s="247" t="s">
        <v>826</v>
      </c>
      <c r="G45" s="247" t="s">
        <v>825</v>
      </c>
    </row>
    <row r="46" spans="1:8" ht="18" customHeight="1">
      <c r="A46" s="239">
        <v>44</v>
      </c>
      <c r="B46" s="240" t="s">
        <v>427</v>
      </c>
      <c r="C46" s="241" t="s">
        <v>363</v>
      </c>
      <c r="D46" s="242">
        <v>305</v>
      </c>
      <c r="E46" s="243" t="s">
        <v>902</v>
      </c>
      <c r="F46" s="240"/>
      <c r="G46" s="247" t="s">
        <v>1085</v>
      </c>
    </row>
    <row r="47" spans="1:8" ht="18" customHeight="1">
      <c r="A47" s="239">
        <v>45</v>
      </c>
      <c r="B47" s="240" t="s">
        <v>426</v>
      </c>
      <c r="C47" s="241" t="s">
        <v>363</v>
      </c>
      <c r="D47" s="242">
        <v>305</v>
      </c>
      <c r="E47" s="248" t="s">
        <v>832</v>
      </c>
      <c r="F47" s="247" t="s">
        <v>749</v>
      </c>
      <c r="G47" s="247" t="s">
        <v>747</v>
      </c>
    </row>
    <row r="48" spans="1:8" ht="18" customHeight="1">
      <c r="A48" s="239">
        <v>46</v>
      </c>
      <c r="B48" s="240" t="s">
        <v>425</v>
      </c>
      <c r="C48" s="241" t="s">
        <v>363</v>
      </c>
      <c r="D48" s="242">
        <v>305</v>
      </c>
      <c r="E48" s="243" t="s">
        <v>1506</v>
      </c>
      <c r="F48" s="240"/>
      <c r="G48" s="244" t="s">
        <v>795</v>
      </c>
      <c r="H48" s="249"/>
    </row>
    <row r="49" spans="1:7" ht="18" customHeight="1">
      <c r="A49" s="239">
        <v>47</v>
      </c>
      <c r="B49" s="240" t="s">
        <v>375</v>
      </c>
      <c r="C49" s="241" t="s">
        <v>357</v>
      </c>
      <c r="D49" s="242">
        <v>379</v>
      </c>
      <c r="E49" s="246" t="s">
        <v>1005</v>
      </c>
      <c r="F49" s="240"/>
      <c r="G49" s="247" t="s">
        <v>1084</v>
      </c>
    </row>
    <row r="50" spans="1:7" ht="18" customHeight="1">
      <c r="A50" s="239">
        <v>48</v>
      </c>
      <c r="B50" s="240" t="s">
        <v>382</v>
      </c>
      <c r="C50" s="241" t="s">
        <v>357</v>
      </c>
      <c r="D50" s="242">
        <v>379</v>
      </c>
      <c r="E50" s="243" t="s">
        <v>1012</v>
      </c>
      <c r="F50" s="247"/>
      <c r="G50" s="247" t="s">
        <v>889</v>
      </c>
    </row>
    <row r="51" spans="1:7" ht="18" customHeight="1">
      <c r="A51" s="239">
        <v>49</v>
      </c>
      <c r="B51" s="240" t="s">
        <v>380</v>
      </c>
      <c r="C51" s="241" t="s">
        <v>357</v>
      </c>
      <c r="D51" s="242">
        <v>379</v>
      </c>
      <c r="E51" s="243" t="s">
        <v>1006</v>
      </c>
      <c r="F51" s="247"/>
      <c r="G51" s="247" t="s">
        <v>824</v>
      </c>
    </row>
    <row r="52" spans="1:7" s="227" customFormat="1" ht="18" customHeight="1">
      <c r="A52" s="239">
        <v>50</v>
      </c>
      <c r="B52" s="250" t="s">
        <v>381</v>
      </c>
      <c r="C52" s="251" t="s">
        <v>357</v>
      </c>
      <c r="D52" s="242">
        <v>379</v>
      </c>
      <c r="E52" s="243" t="s">
        <v>1007</v>
      </c>
      <c r="F52" s="247"/>
      <c r="G52" s="247" t="s">
        <v>1089</v>
      </c>
    </row>
    <row r="53" spans="1:7" ht="18" customHeight="1">
      <c r="A53" s="239"/>
      <c r="B53" s="240"/>
      <c r="C53" s="241"/>
      <c r="D53" s="242"/>
      <c r="E53" s="243"/>
      <c r="F53" s="240"/>
      <c r="G53" s="244"/>
    </row>
    <row r="54" spans="1:7" ht="18" customHeight="1">
      <c r="A54" s="252" t="s">
        <v>479</v>
      </c>
      <c r="B54" s="233" t="s">
        <v>480</v>
      </c>
      <c r="C54" s="234" t="s">
        <v>499</v>
      </c>
      <c r="D54" s="242"/>
      <c r="E54" s="243"/>
      <c r="F54" s="233"/>
      <c r="G54" s="244"/>
    </row>
    <row r="55" spans="1:7" s="238" customFormat="1" ht="18" customHeight="1">
      <c r="A55" s="232" t="s">
        <v>261</v>
      </c>
      <c r="B55" s="233" t="s">
        <v>1</v>
      </c>
      <c r="C55" s="234" t="s">
        <v>0</v>
      </c>
      <c r="D55" s="235" t="s">
        <v>206</v>
      </c>
      <c r="E55" s="236" t="s">
        <v>2</v>
      </c>
      <c r="F55" s="233" t="s">
        <v>483</v>
      </c>
      <c r="G55" s="237" t="s">
        <v>1499</v>
      </c>
    </row>
    <row r="56" spans="1:7" ht="18" customHeight="1">
      <c r="A56" s="239">
        <v>1</v>
      </c>
      <c r="B56" s="240" t="s">
        <v>464</v>
      </c>
      <c r="C56" s="241" t="s">
        <v>363</v>
      </c>
      <c r="D56" s="242">
        <v>311.5</v>
      </c>
      <c r="E56" s="248" t="s">
        <v>1353</v>
      </c>
      <c r="F56" s="247" t="s">
        <v>484</v>
      </c>
      <c r="G56" s="247" t="s">
        <v>778</v>
      </c>
    </row>
    <row r="57" spans="1:7" ht="18" customHeight="1">
      <c r="A57" s="239">
        <v>2</v>
      </c>
      <c r="B57" s="240" t="s">
        <v>465</v>
      </c>
      <c r="C57" s="241" t="s">
        <v>363</v>
      </c>
      <c r="D57" s="242">
        <v>311.5</v>
      </c>
      <c r="E57" s="248" t="s">
        <v>615</v>
      </c>
      <c r="F57" s="247" t="s">
        <v>485</v>
      </c>
      <c r="G57" s="247" t="s">
        <v>779</v>
      </c>
    </row>
    <row r="58" spans="1:7" ht="18" customHeight="1">
      <c r="A58" s="239">
        <v>3</v>
      </c>
      <c r="B58" s="240" t="s">
        <v>466</v>
      </c>
      <c r="C58" s="241" t="s">
        <v>363</v>
      </c>
      <c r="D58" s="242">
        <v>311.5</v>
      </c>
      <c r="E58" s="243" t="s">
        <v>988</v>
      </c>
      <c r="F58" s="247" t="s">
        <v>486</v>
      </c>
      <c r="G58" s="247" t="s">
        <v>780</v>
      </c>
    </row>
    <row r="59" spans="1:7" ht="18" customHeight="1">
      <c r="A59" s="239">
        <v>4</v>
      </c>
      <c r="B59" s="240" t="s">
        <v>467</v>
      </c>
      <c r="C59" s="241" t="s">
        <v>363</v>
      </c>
      <c r="D59" s="242">
        <v>311.5</v>
      </c>
      <c r="E59" s="248" t="s">
        <v>16</v>
      </c>
      <c r="F59" s="240" t="s">
        <v>487</v>
      </c>
      <c r="G59" s="247" t="s">
        <v>781</v>
      </c>
    </row>
    <row r="60" spans="1:7" ht="18" customHeight="1">
      <c r="A60" s="239">
        <v>5</v>
      </c>
      <c r="B60" s="240" t="s">
        <v>468</v>
      </c>
      <c r="C60" s="241" t="s">
        <v>363</v>
      </c>
      <c r="D60" s="242">
        <v>311.5</v>
      </c>
      <c r="E60" s="248" t="s">
        <v>804</v>
      </c>
      <c r="F60" s="247" t="s">
        <v>488</v>
      </c>
      <c r="G60" s="247" t="s">
        <v>782</v>
      </c>
    </row>
    <row r="61" spans="1:7" ht="18" customHeight="1">
      <c r="A61" s="239">
        <v>6</v>
      </c>
      <c r="B61" s="240" t="s">
        <v>469</v>
      </c>
      <c r="C61" s="241" t="s">
        <v>363</v>
      </c>
      <c r="D61" s="242">
        <v>311.5</v>
      </c>
      <c r="E61" s="248" t="s">
        <v>1447</v>
      </c>
      <c r="F61" s="247" t="s">
        <v>489</v>
      </c>
      <c r="G61" s="247" t="s">
        <v>783</v>
      </c>
    </row>
    <row r="62" spans="1:7" ht="18" customHeight="1">
      <c r="A62" s="239">
        <v>7</v>
      </c>
      <c r="B62" s="240" t="s">
        <v>470</v>
      </c>
      <c r="C62" s="241" t="s">
        <v>363</v>
      </c>
      <c r="D62" s="242">
        <v>311.5</v>
      </c>
      <c r="E62" s="243" t="s">
        <v>987</v>
      </c>
      <c r="F62" s="240" t="s">
        <v>490</v>
      </c>
      <c r="G62" s="244" t="s">
        <v>771</v>
      </c>
    </row>
    <row r="63" spans="1:7" ht="18" customHeight="1">
      <c r="A63" s="239">
        <v>8</v>
      </c>
      <c r="B63" s="240" t="s">
        <v>471</v>
      </c>
      <c r="C63" s="241" t="s">
        <v>363</v>
      </c>
      <c r="D63" s="242">
        <v>311.5</v>
      </c>
      <c r="E63" s="246" t="s">
        <v>986</v>
      </c>
      <c r="F63" s="247" t="s">
        <v>491</v>
      </c>
      <c r="G63" s="247" t="s">
        <v>784</v>
      </c>
    </row>
    <row r="64" spans="1:7" ht="18" customHeight="1">
      <c r="A64" s="239">
        <v>9</v>
      </c>
      <c r="B64" s="240" t="s">
        <v>472</v>
      </c>
      <c r="C64" s="241" t="s">
        <v>363</v>
      </c>
      <c r="D64" s="242">
        <v>311.5</v>
      </c>
      <c r="E64" s="243" t="s">
        <v>1008</v>
      </c>
      <c r="F64" s="240" t="s">
        <v>492</v>
      </c>
      <c r="G64" s="247" t="s">
        <v>785</v>
      </c>
    </row>
    <row r="65" spans="1:7" ht="18" customHeight="1">
      <c r="A65" s="239">
        <v>10</v>
      </c>
      <c r="B65" s="240" t="s">
        <v>473</v>
      </c>
      <c r="C65" s="241" t="s">
        <v>363</v>
      </c>
      <c r="D65" s="242">
        <v>311.5</v>
      </c>
      <c r="E65" s="248" t="s">
        <v>802</v>
      </c>
      <c r="F65" s="247" t="s">
        <v>493</v>
      </c>
      <c r="G65" s="247" t="s">
        <v>746</v>
      </c>
    </row>
    <row r="66" spans="1:7" ht="18" customHeight="1">
      <c r="A66" s="239">
        <v>11</v>
      </c>
      <c r="B66" s="240" t="s">
        <v>474</v>
      </c>
      <c r="C66" s="241" t="s">
        <v>363</v>
      </c>
      <c r="D66" s="242">
        <v>311.5</v>
      </c>
      <c r="E66" s="248" t="s">
        <v>794</v>
      </c>
      <c r="F66" s="247" t="s">
        <v>494</v>
      </c>
      <c r="G66" s="247" t="s">
        <v>760</v>
      </c>
    </row>
    <row r="67" spans="1:7" ht="18" customHeight="1">
      <c r="A67" s="239">
        <v>12</v>
      </c>
      <c r="B67" s="240" t="s">
        <v>475</v>
      </c>
      <c r="C67" s="241" t="s">
        <v>363</v>
      </c>
      <c r="D67" s="242">
        <v>311.5</v>
      </c>
      <c r="E67" s="248" t="s">
        <v>1164</v>
      </c>
      <c r="F67" s="240" t="s">
        <v>495</v>
      </c>
      <c r="G67" s="247" t="s">
        <v>786</v>
      </c>
    </row>
    <row r="68" spans="1:7" ht="18" customHeight="1">
      <c r="A68" s="239">
        <v>13</v>
      </c>
      <c r="B68" s="240" t="s">
        <v>476</v>
      </c>
      <c r="C68" s="241" t="s">
        <v>363</v>
      </c>
      <c r="D68" s="242">
        <v>311.5</v>
      </c>
      <c r="E68" s="248" t="s">
        <v>16</v>
      </c>
      <c r="F68" s="247" t="s">
        <v>496</v>
      </c>
      <c r="G68" s="247" t="s">
        <v>787</v>
      </c>
    </row>
    <row r="69" spans="1:7" ht="18" customHeight="1">
      <c r="A69" s="239">
        <v>14</v>
      </c>
      <c r="B69" s="240" t="s">
        <v>477</v>
      </c>
      <c r="C69" s="241" t="s">
        <v>363</v>
      </c>
      <c r="D69" s="242">
        <v>311.5</v>
      </c>
      <c r="E69" s="243" t="s">
        <v>16</v>
      </c>
      <c r="F69" s="240" t="s">
        <v>497</v>
      </c>
      <c r="G69" s="244" t="s">
        <v>770</v>
      </c>
    </row>
    <row r="70" spans="1:7" ht="18" customHeight="1">
      <c r="A70" s="239">
        <v>15</v>
      </c>
      <c r="B70" s="240" t="s">
        <v>478</v>
      </c>
      <c r="C70" s="241" t="s">
        <v>363</v>
      </c>
      <c r="D70" s="242">
        <v>311.5</v>
      </c>
      <c r="E70" s="243" t="s">
        <v>1507</v>
      </c>
      <c r="F70" s="247" t="s">
        <v>498</v>
      </c>
      <c r="G70" s="247" t="s">
        <v>789</v>
      </c>
    </row>
    <row r="72" spans="1:7" ht="18" customHeight="1">
      <c r="A72" s="252" t="s">
        <v>479</v>
      </c>
      <c r="B72" s="233" t="s">
        <v>625</v>
      </c>
      <c r="C72" s="234" t="s">
        <v>626</v>
      </c>
      <c r="D72" s="242"/>
      <c r="E72" s="243"/>
      <c r="F72" s="233"/>
      <c r="G72" s="244"/>
    </row>
    <row r="73" spans="1:7" s="238" customFormat="1" ht="18" customHeight="1">
      <c r="A73" s="232" t="s">
        <v>261</v>
      </c>
      <c r="B73" s="233" t="s">
        <v>1</v>
      </c>
      <c r="C73" s="234" t="s">
        <v>0</v>
      </c>
      <c r="D73" s="235" t="s">
        <v>206</v>
      </c>
      <c r="E73" s="236" t="s">
        <v>2</v>
      </c>
      <c r="F73" s="233" t="s">
        <v>483</v>
      </c>
      <c r="G73" s="244"/>
    </row>
    <row r="74" spans="1:7" s="227" customFormat="1" ht="18" customHeight="1">
      <c r="A74" s="239">
        <v>1</v>
      </c>
      <c r="B74" s="240" t="s">
        <v>627</v>
      </c>
      <c r="C74" s="241" t="s">
        <v>363</v>
      </c>
      <c r="D74" s="242">
        <v>311.5</v>
      </c>
      <c r="E74" s="243" t="s">
        <v>991</v>
      </c>
      <c r="F74" s="240" t="s">
        <v>628</v>
      </c>
      <c r="G74" s="244"/>
    </row>
    <row r="75" spans="1:7" s="227" customFormat="1" ht="18" customHeight="1">
      <c r="A75" s="239">
        <v>2</v>
      </c>
      <c r="B75" s="240" t="s">
        <v>629</v>
      </c>
      <c r="C75" s="241" t="s">
        <v>363</v>
      </c>
      <c r="D75" s="242">
        <v>311.5</v>
      </c>
      <c r="E75" s="248" t="s">
        <v>630</v>
      </c>
      <c r="F75" s="247" t="s">
        <v>631</v>
      </c>
      <c r="G75" s="247" t="s">
        <v>772</v>
      </c>
    </row>
    <row r="76" spans="1:7" ht="25.5">
      <c r="A76" s="239">
        <v>3</v>
      </c>
      <c r="B76" s="240" t="s">
        <v>632</v>
      </c>
      <c r="C76" s="241" t="s">
        <v>363</v>
      </c>
      <c r="D76" s="242">
        <v>311.5</v>
      </c>
      <c r="E76" s="248" t="s">
        <v>791</v>
      </c>
      <c r="F76" s="247" t="s">
        <v>634</v>
      </c>
      <c r="G76" s="247" t="s">
        <v>768</v>
      </c>
    </row>
    <row r="77" spans="1:7" ht="18" customHeight="1">
      <c r="A77" s="239">
        <v>4</v>
      </c>
      <c r="B77" s="240" t="s">
        <v>635</v>
      </c>
      <c r="C77" s="241" t="s">
        <v>363</v>
      </c>
      <c r="D77" s="242">
        <v>311.5</v>
      </c>
      <c r="E77" s="248" t="s">
        <v>1310</v>
      </c>
      <c r="F77" s="247" t="s">
        <v>637</v>
      </c>
      <c r="G77" s="247" t="s">
        <v>767</v>
      </c>
    </row>
    <row r="78" spans="1:7" ht="18" customHeight="1">
      <c r="A78" s="239">
        <v>5</v>
      </c>
      <c r="B78" s="240" t="s">
        <v>638</v>
      </c>
      <c r="C78" s="241" t="s">
        <v>363</v>
      </c>
      <c r="D78" s="242">
        <v>311.5</v>
      </c>
      <c r="E78" s="248" t="s">
        <v>803</v>
      </c>
      <c r="F78" s="247" t="s">
        <v>639</v>
      </c>
      <c r="G78" s="247" t="s">
        <v>773</v>
      </c>
    </row>
    <row r="79" spans="1:7" ht="18" customHeight="1">
      <c r="A79" s="239">
        <v>6</v>
      </c>
      <c r="B79" s="240" t="s">
        <v>640</v>
      </c>
      <c r="C79" s="241" t="s">
        <v>363</v>
      </c>
      <c r="D79" s="242">
        <v>311.5</v>
      </c>
      <c r="E79" s="248" t="s">
        <v>1245</v>
      </c>
      <c r="F79" s="247" t="s">
        <v>641</v>
      </c>
      <c r="G79" s="247" t="s">
        <v>1244</v>
      </c>
    </row>
    <row r="80" spans="1:7" ht="18" customHeight="1">
      <c r="A80" s="239">
        <v>7</v>
      </c>
      <c r="B80" s="240" t="s">
        <v>642</v>
      </c>
      <c r="C80" s="241" t="s">
        <v>363</v>
      </c>
      <c r="D80" s="242">
        <v>311.5</v>
      </c>
      <c r="E80" s="248" t="s">
        <v>1384</v>
      </c>
      <c r="F80" s="247" t="s">
        <v>643</v>
      </c>
      <c r="G80" s="247" t="s">
        <v>775</v>
      </c>
    </row>
    <row r="81" spans="1:8" ht="19.899999999999999" customHeight="1">
      <c r="A81" s="239">
        <v>8</v>
      </c>
      <c r="B81" s="240" t="s">
        <v>644</v>
      </c>
      <c r="C81" s="241" t="s">
        <v>363</v>
      </c>
      <c r="D81" s="242">
        <v>311.5</v>
      </c>
      <c r="E81" s="248" t="s">
        <v>647</v>
      </c>
      <c r="F81" s="247" t="s">
        <v>645</v>
      </c>
      <c r="G81" s="247" t="s">
        <v>776</v>
      </c>
    </row>
    <row r="82" spans="1:8" ht="18" customHeight="1">
      <c r="A82" s="239">
        <v>9</v>
      </c>
      <c r="B82" s="240" t="s">
        <v>646</v>
      </c>
      <c r="C82" s="241" t="s">
        <v>363</v>
      </c>
      <c r="D82" s="242">
        <v>311.5</v>
      </c>
      <c r="E82" s="248" t="s">
        <v>623</v>
      </c>
      <c r="F82" s="247" t="s">
        <v>648</v>
      </c>
      <c r="G82" s="247" t="s">
        <v>769</v>
      </c>
    </row>
    <row r="83" spans="1:8" ht="18" customHeight="1">
      <c r="A83" s="239">
        <v>10</v>
      </c>
      <c r="B83" s="240" t="s">
        <v>649</v>
      </c>
      <c r="C83" s="241" t="s">
        <v>363</v>
      </c>
      <c r="D83" s="242">
        <v>311.5</v>
      </c>
      <c r="E83" s="248" t="s">
        <v>650</v>
      </c>
      <c r="F83" s="247" t="s">
        <v>651</v>
      </c>
      <c r="G83" s="247" t="s">
        <v>777</v>
      </c>
    </row>
    <row r="85" spans="1:8" ht="18" customHeight="1">
      <c r="A85" s="252" t="s">
        <v>479</v>
      </c>
      <c r="B85" s="233" t="s">
        <v>970</v>
      </c>
      <c r="C85" s="234"/>
      <c r="D85" s="242"/>
      <c r="E85" s="243"/>
    </row>
    <row r="86" spans="1:8" s="238" customFormat="1" ht="18" customHeight="1">
      <c r="A86" s="232" t="s">
        <v>261</v>
      </c>
      <c r="B86" s="233"/>
      <c r="C86" s="234" t="s">
        <v>0</v>
      </c>
      <c r="D86" s="235" t="s">
        <v>206</v>
      </c>
      <c r="E86" s="236" t="s">
        <v>2</v>
      </c>
      <c r="F86" s="233" t="s">
        <v>483</v>
      </c>
      <c r="G86" s="247" t="s">
        <v>750</v>
      </c>
      <c r="H86" s="245"/>
    </row>
    <row r="87" spans="1:8" ht="18" customHeight="1">
      <c r="A87" s="239">
        <v>1</v>
      </c>
      <c r="B87" s="254" t="s">
        <v>753</v>
      </c>
      <c r="C87" s="241" t="s">
        <v>969</v>
      </c>
      <c r="D87" s="255">
        <v>260</v>
      </c>
      <c r="E87" s="248" t="s">
        <v>834</v>
      </c>
      <c r="F87" s="256" t="s">
        <v>755</v>
      </c>
      <c r="G87" s="239" t="s">
        <v>756</v>
      </c>
    </row>
    <row r="88" spans="1:8" s="227" customFormat="1" ht="18" customHeight="1">
      <c r="A88" s="239">
        <v>2</v>
      </c>
      <c r="B88" s="254" t="s">
        <v>806</v>
      </c>
      <c r="C88" s="241" t="s">
        <v>969</v>
      </c>
      <c r="D88" s="255">
        <v>260</v>
      </c>
      <c r="E88" s="248" t="s">
        <v>1311</v>
      </c>
      <c r="F88" s="247" t="s">
        <v>807</v>
      </c>
      <c r="G88" s="247" t="s">
        <v>808</v>
      </c>
    </row>
    <row r="89" spans="1:8" ht="18" customHeight="1">
      <c r="A89" s="239">
        <v>3</v>
      </c>
      <c r="B89" s="254" t="s">
        <v>757</v>
      </c>
      <c r="C89" s="254" t="s">
        <v>754</v>
      </c>
      <c r="D89" s="257">
        <v>260</v>
      </c>
      <c r="E89" s="243" t="s">
        <v>1190</v>
      </c>
      <c r="F89" s="256" t="s">
        <v>758</v>
      </c>
      <c r="G89" s="239" t="s">
        <v>759</v>
      </c>
    </row>
    <row r="90" spans="1:8" ht="18" customHeight="1">
      <c r="A90" s="239">
        <v>4</v>
      </c>
      <c r="B90" s="254" t="s">
        <v>761</v>
      </c>
      <c r="C90" s="254" t="s">
        <v>754</v>
      </c>
      <c r="D90" s="257">
        <v>260</v>
      </c>
      <c r="E90" s="248" t="s">
        <v>16</v>
      </c>
      <c r="F90" s="256" t="s">
        <v>762</v>
      </c>
      <c r="G90" s="239" t="s">
        <v>763</v>
      </c>
    </row>
    <row r="91" spans="1:8" ht="18" customHeight="1">
      <c r="A91" s="239">
        <v>5</v>
      </c>
      <c r="B91" s="254" t="s">
        <v>827</v>
      </c>
      <c r="C91" s="254" t="s">
        <v>754</v>
      </c>
      <c r="D91" s="257">
        <v>260</v>
      </c>
      <c r="E91" s="248" t="s">
        <v>830</v>
      </c>
      <c r="F91" s="247" t="s">
        <v>828</v>
      </c>
      <c r="G91" s="239" t="s">
        <v>829</v>
      </c>
    </row>
    <row r="92" spans="1:8" ht="18" customHeight="1">
      <c r="A92" s="239">
        <v>6</v>
      </c>
      <c r="B92" s="254" t="s">
        <v>764</v>
      </c>
      <c r="C92" s="254" t="s">
        <v>754</v>
      </c>
      <c r="D92" s="257">
        <v>260</v>
      </c>
      <c r="E92" s="248" t="s">
        <v>833</v>
      </c>
      <c r="F92" s="256" t="s">
        <v>765</v>
      </c>
      <c r="G92" s="239" t="s">
        <v>766</v>
      </c>
    </row>
    <row r="94" spans="1:8" ht="18" customHeight="1">
      <c r="A94" s="252" t="s">
        <v>479</v>
      </c>
      <c r="B94" s="233" t="s">
        <v>971</v>
      </c>
      <c r="C94" s="234"/>
      <c r="D94" s="242"/>
      <c r="E94" s="243"/>
      <c r="F94" s="246"/>
      <c r="G94" s="239"/>
    </row>
    <row r="95" spans="1:8" s="238" customFormat="1" ht="18" customHeight="1">
      <c r="A95" s="232" t="s">
        <v>261</v>
      </c>
      <c r="B95" s="233" t="s">
        <v>1</v>
      </c>
      <c r="C95" s="234" t="s">
        <v>0</v>
      </c>
      <c r="D95" s="235" t="s">
        <v>206</v>
      </c>
      <c r="E95" s="236" t="s">
        <v>2</v>
      </c>
      <c r="F95" s="233" t="s">
        <v>483</v>
      </c>
      <c r="G95" s="247" t="s">
        <v>750</v>
      </c>
    </row>
    <row r="96" spans="1:8" s="227" customFormat="1" ht="18" customHeight="1">
      <c r="A96" s="239">
        <v>1</v>
      </c>
      <c r="B96" s="240" t="s">
        <v>835</v>
      </c>
      <c r="C96" s="241" t="s">
        <v>969</v>
      </c>
      <c r="D96" s="255">
        <v>260</v>
      </c>
      <c r="E96" s="248" t="s">
        <v>870</v>
      </c>
      <c r="F96" s="247" t="s">
        <v>891</v>
      </c>
      <c r="G96" s="239" t="s">
        <v>836</v>
      </c>
    </row>
    <row r="97" spans="1:7" ht="18" customHeight="1">
      <c r="A97" s="239">
        <v>2</v>
      </c>
      <c r="B97" s="240" t="s">
        <v>837</v>
      </c>
      <c r="C97" s="241" t="s">
        <v>969</v>
      </c>
      <c r="D97" s="255">
        <v>260</v>
      </c>
      <c r="E97" s="248" t="s">
        <v>871</v>
      </c>
      <c r="F97" s="247" t="s">
        <v>892</v>
      </c>
      <c r="G97" s="239" t="s">
        <v>838</v>
      </c>
    </row>
    <row r="98" spans="1:7" ht="18" customHeight="1">
      <c r="A98" s="239">
        <v>3</v>
      </c>
      <c r="B98" s="240" t="s">
        <v>839</v>
      </c>
      <c r="C98" s="241" t="s">
        <v>969</v>
      </c>
      <c r="D98" s="255">
        <v>260</v>
      </c>
      <c r="E98" s="248" t="s">
        <v>872</v>
      </c>
      <c r="F98" s="247" t="s">
        <v>893</v>
      </c>
      <c r="G98" s="239" t="s">
        <v>840</v>
      </c>
    </row>
    <row r="99" spans="1:7" ht="18" customHeight="1">
      <c r="A99" s="239">
        <v>4</v>
      </c>
      <c r="B99" s="240" t="s">
        <v>841</v>
      </c>
      <c r="C99" s="241" t="s">
        <v>969</v>
      </c>
      <c r="D99" s="255">
        <v>260</v>
      </c>
      <c r="E99" s="248" t="s">
        <v>869</v>
      </c>
      <c r="F99" s="247" t="s">
        <v>894</v>
      </c>
      <c r="G99" s="239" t="s">
        <v>842</v>
      </c>
    </row>
    <row r="100" spans="1:7" ht="18" customHeight="1">
      <c r="A100" s="239">
        <v>5</v>
      </c>
      <c r="B100" s="240" t="s">
        <v>843</v>
      </c>
      <c r="C100" s="241" t="s">
        <v>969</v>
      </c>
      <c r="D100" s="255">
        <v>260</v>
      </c>
      <c r="E100" s="248" t="s">
        <v>868</v>
      </c>
      <c r="F100" s="247" t="s">
        <v>895</v>
      </c>
      <c r="G100" s="239" t="s">
        <v>844</v>
      </c>
    </row>
    <row r="101" spans="1:7" ht="18" customHeight="1">
      <c r="A101" s="239">
        <v>6</v>
      </c>
      <c r="B101" s="240" t="s">
        <v>845</v>
      </c>
      <c r="C101" s="241" t="s">
        <v>969</v>
      </c>
      <c r="D101" s="255">
        <v>260</v>
      </c>
      <c r="E101" s="248" t="s">
        <v>876</v>
      </c>
      <c r="F101" s="247" t="s">
        <v>896</v>
      </c>
      <c r="G101" s="239" t="s">
        <v>846</v>
      </c>
    </row>
    <row r="102" spans="1:7" ht="19.899999999999999" customHeight="1">
      <c r="A102" s="239">
        <v>7</v>
      </c>
      <c r="B102" s="240" t="s">
        <v>847</v>
      </c>
      <c r="C102" s="241" t="s">
        <v>969</v>
      </c>
      <c r="D102" s="255">
        <v>260</v>
      </c>
      <c r="E102" s="248" t="s">
        <v>875</v>
      </c>
      <c r="F102" s="247" t="s">
        <v>897</v>
      </c>
      <c r="G102" s="239" t="s">
        <v>848</v>
      </c>
    </row>
    <row r="103" spans="1:7" ht="18" customHeight="1">
      <c r="A103" s="239">
        <v>8</v>
      </c>
      <c r="B103" s="240" t="s">
        <v>849</v>
      </c>
      <c r="C103" s="241" t="s">
        <v>969</v>
      </c>
      <c r="D103" s="255">
        <v>260</v>
      </c>
      <c r="E103" s="248" t="s">
        <v>874</v>
      </c>
      <c r="F103" s="247" t="s">
        <v>898</v>
      </c>
      <c r="G103" s="239" t="s">
        <v>850</v>
      </c>
    </row>
    <row r="104" spans="1:7" ht="19.899999999999999" customHeight="1">
      <c r="A104" s="239">
        <v>9</v>
      </c>
      <c r="B104" s="240" t="s">
        <v>851</v>
      </c>
      <c r="C104" s="241" t="s">
        <v>969</v>
      </c>
      <c r="D104" s="255">
        <v>260</v>
      </c>
      <c r="E104" s="248" t="s">
        <v>873</v>
      </c>
      <c r="F104" s="247" t="s">
        <v>899</v>
      </c>
      <c r="G104" s="239" t="s">
        <v>852</v>
      </c>
    </row>
    <row r="105" spans="1:7" ht="18" customHeight="1">
      <c r="A105" s="239">
        <v>10</v>
      </c>
      <c r="B105" s="240" t="s">
        <v>853</v>
      </c>
      <c r="C105" s="241" t="s">
        <v>969</v>
      </c>
      <c r="D105" s="255">
        <v>260</v>
      </c>
      <c r="E105" s="248" t="s">
        <v>16</v>
      </c>
      <c r="F105" s="247" t="s">
        <v>900</v>
      </c>
      <c r="G105" s="239" t="s">
        <v>854</v>
      </c>
    </row>
    <row r="107" spans="1:7" ht="18" customHeight="1">
      <c r="A107" s="252" t="s">
        <v>479</v>
      </c>
      <c r="B107" s="233" t="s">
        <v>1014</v>
      </c>
      <c r="C107" s="234" t="s">
        <v>1015</v>
      </c>
      <c r="D107" s="242"/>
      <c r="E107" s="243"/>
      <c r="F107" s="233"/>
    </row>
    <row r="108" spans="1:7" s="238" customFormat="1" ht="18" customHeight="1">
      <c r="A108" s="232" t="s">
        <v>261</v>
      </c>
      <c r="B108" s="233" t="s">
        <v>1</v>
      </c>
      <c r="C108" s="234" t="s">
        <v>0</v>
      </c>
      <c r="D108" s="235" t="s">
        <v>206</v>
      </c>
      <c r="E108" s="236" t="s">
        <v>2</v>
      </c>
      <c r="F108" s="233" t="s">
        <v>483</v>
      </c>
      <c r="G108" s="253"/>
    </row>
    <row r="109" spans="1:7" s="227" customFormat="1" ht="18" customHeight="1">
      <c r="A109" s="239">
        <v>1</v>
      </c>
      <c r="B109" s="240" t="s">
        <v>1016</v>
      </c>
      <c r="C109" s="241" t="s">
        <v>1017</v>
      </c>
      <c r="D109" s="242">
        <v>311.5</v>
      </c>
      <c r="E109" s="243" t="s">
        <v>712</v>
      </c>
      <c r="F109" s="240" t="s">
        <v>1018</v>
      </c>
      <c r="G109" s="253"/>
    </row>
    <row r="111" spans="1:7" ht="18" customHeight="1">
      <c r="A111" s="252" t="s">
        <v>479</v>
      </c>
      <c r="B111" s="233" t="s">
        <v>1054</v>
      </c>
      <c r="C111" s="234"/>
      <c r="D111" s="242"/>
      <c r="E111" s="243"/>
      <c r="F111" s="237"/>
      <c r="G111" s="244"/>
    </row>
    <row r="112" spans="1:7" s="238" customFormat="1" ht="18" customHeight="1">
      <c r="A112" s="232" t="s">
        <v>261</v>
      </c>
      <c r="B112" s="233" t="s">
        <v>1</v>
      </c>
      <c r="C112" s="234" t="s">
        <v>0</v>
      </c>
      <c r="D112" s="235" t="s">
        <v>206</v>
      </c>
      <c r="E112" s="236" t="s">
        <v>2</v>
      </c>
      <c r="F112" s="237" t="s">
        <v>483</v>
      </c>
      <c r="G112" s="244" t="s">
        <v>750</v>
      </c>
    </row>
    <row r="113" spans="1:7" ht="18" customHeight="1">
      <c r="A113" s="239">
        <v>1</v>
      </c>
      <c r="B113" s="240" t="s">
        <v>1067</v>
      </c>
      <c r="C113" s="241" t="s">
        <v>1063</v>
      </c>
      <c r="D113" s="255">
        <v>260</v>
      </c>
      <c r="E113" s="243" t="s">
        <v>1065</v>
      </c>
      <c r="F113" s="258" t="s">
        <v>1068</v>
      </c>
      <c r="G113" s="258" t="s">
        <v>1070</v>
      </c>
    </row>
    <row r="114" spans="1:7" s="227" customFormat="1" ht="18" customHeight="1">
      <c r="A114" s="239">
        <v>2</v>
      </c>
      <c r="B114" s="240" t="s">
        <v>1055</v>
      </c>
      <c r="C114" s="241" t="s">
        <v>1063</v>
      </c>
      <c r="D114" s="255">
        <v>260</v>
      </c>
      <c r="E114" s="248" t="s">
        <v>1236</v>
      </c>
      <c r="F114" s="244" t="s">
        <v>1167</v>
      </c>
      <c r="G114" s="244" t="s">
        <v>1071</v>
      </c>
    </row>
    <row r="115" spans="1:7" ht="18" customHeight="1">
      <c r="A115" s="239">
        <v>3</v>
      </c>
      <c r="B115" s="240" t="s">
        <v>1056</v>
      </c>
      <c r="C115" s="241" t="s">
        <v>1063</v>
      </c>
      <c r="D115" s="255">
        <v>260</v>
      </c>
      <c r="E115" s="243" t="s">
        <v>1189</v>
      </c>
      <c r="F115" s="244" t="s">
        <v>1168</v>
      </c>
      <c r="G115" s="244" t="s">
        <v>1072</v>
      </c>
    </row>
    <row r="116" spans="1:7" ht="18" customHeight="1">
      <c r="A116" s="239">
        <v>4</v>
      </c>
      <c r="B116" s="240" t="s">
        <v>1057</v>
      </c>
      <c r="C116" s="241" t="s">
        <v>1063</v>
      </c>
      <c r="D116" s="255">
        <v>260</v>
      </c>
      <c r="E116" s="248" t="s">
        <v>621</v>
      </c>
      <c r="F116" s="244" t="s">
        <v>1123</v>
      </c>
      <c r="G116" s="244" t="s">
        <v>1073</v>
      </c>
    </row>
    <row r="117" spans="1:7" ht="18" customHeight="1">
      <c r="A117" s="239">
        <v>5</v>
      </c>
      <c r="B117" s="240" t="s">
        <v>1064</v>
      </c>
      <c r="C117" s="241" t="s">
        <v>1063</v>
      </c>
      <c r="D117" s="255">
        <v>260</v>
      </c>
      <c r="E117" s="243" t="s">
        <v>1065</v>
      </c>
      <c r="F117" s="244" t="s">
        <v>1069</v>
      </c>
      <c r="G117" s="244" t="s">
        <v>1066</v>
      </c>
    </row>
    <row r="118" spans="1:7" ht="18" customHeight="1">
      <c r="A118" s="239">
        <v>6</v>
      </c>
      <c r="B118" s="240" t="s">
        <v>1058</v>
      </c>
      <c r="C118" s="241" t="s">
        <v>1063</v>
      </c>
      <c r="D118" s="255">
        <v>260</v>
      </c>
      <c r="E118" s="248" t="s">
        <v>16</v>
      </c>
      <c r="F118" s="244" t="s">
        <v>1124</v>
      </c>
      <c r="G118" s="244" t="s">
        <v>1074</v>
      </c>
    </row>
    <row r="119" spans="1:7" ht="18" customHeight="1">
      <c r="A119" s="239">
        <v>7</v>
      </c>
      <c r="B119" s="240" t="s">
        <v>1059</v>
      </c>
      <c r="C119" s="241" t="s">
        <v>1063</v>
      </c>
      <c r="D119" s="255">
        <v>260</v>
      </c>
      <c r="E119" s="248" t="s">
        <v>1241</v>
      </c>
      <c r="F119" s="244" t="s">
        <v>1169</v>
      </c>
      <c r="G119" s="244" t="s">
        <v>1075</v>
      </c>
    </row>
    <row r="120" spans="1:7" ht="19.899999999999999" customHeight="1">
      <c r="A120" s="239">
        <v>8</v>
      </c>
      <c r="B120" s="240" t="s">
        <v>1060</v>
      </c>
      <c r="C120" s="241" t="s">
        <v>1063</v>
      </c>
      <c r="D120" s="255">
        <v>260</v>
      </c>
      <c r="E120" s="248" t="s">
        <v>16</v>
      </c>
      <c r="F120" s="244" t="s">
        <v>1238</v>
      </c>
      <c r="G120" s="244" t="s">
        <v>1076</v>
      </c>
    </row>
    <row r="121" spans="1:7" ht="18" customHeight="1">
      <c r="A121" s="239">
        <v>9</v>
      </c>
      <c r="B121" s="240" t="s">
        <v>1061</v>
      </c>
      <c r="C121" s="241" t="s">
        <v>1063</v>
      </c>
      <c r="D121" s="255">
        <v>260</v>
      </c>
      <c r="E121" s="243" t="s">
        <v>1309</v>
      </c>
      <c r="F121" s="244" t="s">
        <v>1166</v>
      </c>
      <c r="G121" s="244" t="s">
        <v>1077</v>
      </c>
    </row>
    <row r="122" spans="1:7" ht="19.899999999999999" customHeight="1">
      <c r="A122" s="239">
        <v>10</v>
      </c>
      <c r="B122" s="240" t="s">
        <v>1062</v>
      </c>
      <c r="C122" s="241" t="s">
        <v>1063</v>
      </c>
      <c r="D122" s="255">
        <v>260</v>
      </c>
      <c r="E122" s="243" t="s">
        <v>1385</v>
      </c>
      <c r="F122" s="244" t="s">
        <v>1137</v>
      </c>
      <c r="G122" s="244" t="s">
        <v>1078</v>
      </c>
    </row>
    <row r="123" spans="1:7" s="227" customFormat="1" ht="18" customHeight="1" thickBot="1">
      <c r="A123" s="253"/>
      <c r="B123" s="245"/>
      <c r="C123" s="259" t="s">
        <v>351</v>
      </c>
      <c r="D123" s="260">
        <f>SUM(D3:D122)</f>
        <v>31887</v>
      </c>
      <c r="E123" s="261"/>
      <c r="F123" s="245"/>
      <c r="G123" s="253"/>
    </row>
    <row r="124" spans="1:7" ht="18" customHeight="1" thickTop="1"/>
    <row r="125" spans="1:7" ht="18" customHeight="1">
      <c r="A125" s="252" t="s">
        <v>479</v>
      </c>
      <c r="B125" s="233" t="s">
        <v>1279</v>
      </c>
      <c r="C125" s="234" t="s">
        <v>1161</v>
      </c>
      <c r="D125" s="242"/>
      <c r="E125" s="243"/>
      <c r="F125" s="233"/>
      <c r="G125" s="244"/>
    </row>
    <row r="126" spans="1:7" s="238" customFormat="1" ht="18" customHeight="1">
      <c r="A126" s="232" t="s">
        <v>261</v>
      </c>
      <c r="B126" s="233" t="s">
        <v>1</v>
      </c>
      <c r="C126" s="234" t="s">
        <v>0</v>
      </c>
      <c r="D126" s="235" t="s">
        <v>206</v>
      </c>
      <c r="E126" s="236" t="s">
        <v>2</v>
      </c>
      <c r="F126" s="233" t="s">
        <v>483</v>
      </c>
      <c r="G126" s="244"/>
    </row>
    <row r="127" spans="1:7" s="227" customFormat="1" ht="18" customHeight="1">
      <c r="A127" s="239">
        <v>1</v>
      </c>
      <c r="B127" s="240" t="s">
        <v>928</v>
      </c>
      <c r="C127" s="241" t="s">
        <v>363</v>
      </c>
      <c r="D127" s="262">
        <v>195</v>
      </c>
      <c r="E127" s="248" t="s">
        <v>16</v>
      </c>
      <c r="F127" s="240" t="s">
        <v>943</v>
      </c>
      <c r="G127" s="244" t="s">
        <v>1154</v>
      </c>
    </row>
    <row r="128" spans="1:7" ht="18" customHeight="1">
      <c r="A128" s="239">
        <v>2</v>
      </c>
      <c r="B128" s="240" t="s">
        <v>930</v>
      </c>
      <c r="C128" s="241" t="s">
        <v>363</v>
      </c>
      <c r="D128" s="262">
        <v>195</v>
      </c>
      <c r="E128" s="243" t="s">
        <v>998</v>
      </c>
      <c r="F128" s="240" t="s">
        <v>945</v>
      </c>
      <c r="G128" s="244"/>
    </row>
    <row r="129" spans="1:7" ht="18" customHeight="1">
      <c r="A129" s="239">
        <v>3</v>
      </c>
      <c r="B129" s="240" t="s">
        <v>933</v>
      </c>
      <c r="C129" s="241" t="s">
        <v>363</v>
      </c>
      <c r="D129" s="262">
        <v>195</v>
      </c>
      <c r="E129" s="248" t="s">
        <v>16</v>
      </c>
      <c r="F129" s="240" t="s">
        <v>948</v>
      </c>
      <c r="G129" s="239" t="s">
        <v>1079</v>
      </c>
    </row>
    <row r="130" spans="1:7" ht="18" customHeight="1">
      <c r="A130" s="239">
        <v>4</v>
      </c>
      <c r="B130" s="240" t="s">
        <v>936</v>
      </c>
      <c r="C130" s="241" t="s">
        <v>363</v>
      </c>
      <c r="D130" s="262">
        <v>195</v>
      </c>
      <c r="E130" s="248" t="s">
        <v>1312</v>
      </c>
      <c r="F130" s="240" t="s">
        <v>951</v>
      </c>
      <c r="G130" s="244" t="s">
        <v>1150</v>
      </c>
    </row>
    <row r="131" spans="1:7" ht="18" customHeight="1">
      <c r="A131" s="239">
        <v>5</v>
      </c>
      <c r="B131" s="240" t="s">
        <v>937</v>
      </c>
      <c r="C131" s="241" t="s">
        <v>363</v>
      </c>
      <c r="D131" s="262">
        <v>195</v>
      </c>
      <c r="E131" s="248" t="s">
        <v>904</v>
      </c>
      <c r="F131" s="240" t="s">
        <v>952</v>
      </c>
      <c r="G131" s="244" t="s">
        <v>963</v>
      </c>
    </row>
    <row r="132" spans="1:7" ht="18" customHeight="1">
      <c r="A132" s="239">
        <v>6</v>
      </c>
      <c r="B132" s="240" t="s">
        <v>942</v>
      </c>
      <c r="C132" s="241" t="s">
        <v>363</v>
      </c>
      <c r="D132" s="262">
        <v>195</v>
      </c>
      <c r="E132" s="248" t="s">
        <v>905</v>
      </c>
      <c r="F132" s="240" t="s">
        <v>957</v>
      </c>
      <c r="G132" s="244" t="s">
        <v>968</v>
      </c>
    </row>
    <row r="133" spans="1:7" ht="19.899999999999999" customHeight="1">
      <c r="A133" s="239">
        <v>7</v>
      </c>
      <c r="B133" s="240" t="s">
        <v>935</v>
      </c>
      <c r="C133" s="241" t="s">
        <v>363</v>
      </c>
      <c r="D133" s="262">
        <v>195</v>
      </c>
      <c r="E133" s="248" t="s">
        <v>1035</v>
      </c>
      <c r="F133" s="240" t="s">
        <v>950</v>
      </c>
      <c r="G133" s="244" t="s">
        <v>962</v>
      </c>
    </row>
    <row r="134" spans="1:7" ht="18" customHeight="1">
      <c r="A134" s="239">
        <v>8</v>
      </c>
      <c r="B134" s="240" t="s">
        <v>940</v>
      </c>
      <c r="C134" s="241" t="s">
        <v>363</v>
      </c>
      <c r="D134" s="262">
        <v>195</v>
      </c>
      <c r="E134" s="248" t="s">
        <v>1036</v>
      </c>
      <c r="F134" s="240" t="s">
        <v>955</v>
      </c>
      <c r="G134" s="244" t="s">
        <v>966</v>
      </c>
    </row>
    <row r="135" spans="1:7" ht="19.899999999999999" customHeight="1">
      <c r="A135" s="239">
        <v>9</v>
      </c>
      <c r="B135" s="240" t="s">
        <v>941</v>
      </c>
      <c r="C135" s="241" t="s">
        <v>363</v>
      </c>
      <c r="D135" s="262">
        <v>195</v>
      </c>
      <c r="E135" s="248" t="s">
        <v>1041</v>
      </c>
      <c r="F135" s="240" t="s">
        <v>956</v>
      </c>
      <c r="G135" s="244" t="s">
        <v>967</v>
      </c>
    </row>
    <row r="136" spans="1:7" ht="18" customHeight="1">
      <c r="A136" s="239">
        <v>10</v>
      </c>
      <c r="B136" s="240" t="s">
        <v>934</v>
      </c>
      <c r="C136" s="241" t="s">
        <v>363</v>
      </c>
      <c r="D136" s="262">
        <v>195</v>
      </c>
      <c r="E136" s="248" t="s">
        <v>903</v>
      </c>
      <c r="F136" s="240" t="s">
        <v>949</v>
      </c>
      <c r="G136" s="244" t="s">
        <v>961</v>
      </c>
    </row>
    <row r="137" spans="1:7" ht="18" customHeight="1">
      <c r="A137" s="239">
        <v>11</v>
      </c>
      <c r="B137" s="240" t="s">
        <v>938</v>
      </c>
      <c r="C137" s="241" t="s">
        <v>363</v>
      </c>
      <c r="D137" s="262">
        <v>195</v>
      </c>
      <c r="E137" s="248" t="s">
        <v>902</v>
      </c>
      <c r="F137" s="240" t="s">
        <v>953</v>
      </c>
      <c r="G137" s="244" t="s">
        <v>964</v>
      </c>
    </row>
    <row r="138" spans="1:7" s="227" customFormat="1" ht="18" customHeight="1">
      <c r="A138" s="239">
        <v>12</v>
      </c>
      <c r="B138" s="240" t="s">
        <v>929</v>
      </c>
      <c r="C138" s="241" t="s">
        <v>363</v>
      </c>
      <c r="D138" s="262">
        <v>195</v>
      </c>
      <c r="E138" s="248" t="s">
        <v>16</v>
      </c>
      <c r="F138" s="240" t="s">
        <v>944</v>
      </c>
      <c r="G138" s="244" t="s">
        <v>958</v>
      </c>
    </row>
    <row r="139" spans="1:7" ht="18" customHeight="1">
      <c r="A139" s="239">
        <v>13</v>
      </c>
      <c r="B139" s="240" t="s">
        <v>939</v>
      </c>
      <c r="C139" s="241" t="s">
        <v>363</v>
      </c>
      <c r="D139" s="262">
        <v>195</v>
      </c>
      <c r="E139" s="248" t="s">
        <v>1082</v>
      </c>
      <c r="F139" s="240" t="s">
        <v>954</v>
      </c>
      <c r="G139" s="244" t="s">
        <v>965</v>
      </c>
    </row>
    <row r="140" spans="1:7" ht="18" customHeight="1">
      <c r="A140" s="239">
        <v>14</v>
      </c>
      <c r="B140" s="240" t="s">
        <v>932</v>
      </c>
      <c r="C140" s="241" t="s">
        <v>363</v>
      </c>
      <c r="D140" s="262">
        <v>195</v>
      </c>
      <c r="E140" s="248" t="s">
        <v>1043</v>
      </c>
      <c r="F140" s="240" t="s">
        <v>947</v>
      </c>
      <c r="G140" s="244" t="s">
        <v>960</v>
      </c>
    </row>
    <row r="141" spans="1:7" ht="18" customHeight="1">
      <c r="A141" s="239">
        <v>15</v>
      </c>
      <c r="B141" s="240" t="s">
        <v>931</v>
      </c>
      <c r="C141" s="241" t="s">
        <v>363</v>
      </c>
      <c r="D141" s="262">
        <v>195</v>
      </c>
      <c r="E141" s="248" t="s">
        <v>1040</v>
      </c>
      <c r="F141" s="240" t="s">
        <v>946</v>
      </c>
      <c r="G141" s="244" t="s">
        <v>959</v>
      </c>
    </row>
    <row r="142" spans="1:7" ht="18" customHeight="1">
      <c r="A142" s="252" t="s">
        <v>479</v>
      </c>
      <c r="B142" s="233" t="s">
        <v>1299</v>
      </c>
      <c r="C142" s="234" t="s">
        <v>1282</v>
      </c>
      <c r="D142" s="242"/>
      <c r="E142" s="243"/>
      <c r="F142" s="233"/>
      <c r="G142" s="244"/>
    </row>
    <row r="143" spans="1:7" s="238" customFormat="1" ht="18" customHeight="1">
      <c r="A143" s="232" t="s">
        <v>261</v>
      </c>
      <c r="B143" s="233" t="s">
        <v>1</v>
      </c>
      <c r="C143" s="234" t="s">
        <v>0</v>
      </c>
      <c r="D143" s="235" t="s">
        <v>206</v>
      </c>
      <c r="E143" s="236" t="s">
        <v>2</v>
      </c>
      <c r="F143" s="233" t="s">
        <v>483</v>
      </c>
      <c r="G143" s="244"/>
    </row>
    <row r="144" spans="1:7" s="227" customFormat="1" ht="18" customHeight="1">
      <c r="A144" s="239">
        <v>1</v>
      </c>
      <c r="B144" s="240" t="s">
        <v>1283</v>
      </c>
      <c r="C144" s="241" t="s">
        <v>363</v>
      </c>
      <c r="D144" s="262">
        <v>195</v>
      </c>
      <c r="E144" s="246" t="s">
        <v>443</v>
      </c>
      <c r="F144" s="263" t="s">
        <v>1291</v>
      </c>
      <c r="G144" s="244" t="s">
        <v>1301</v>
      </c>
    </row>
    <row r="145" spans="1:7" ht="18" customHeight="1">
      <c r="A145" s="239">
        <v>2</v>
      </c>
      <c r="B145" s="240" t="s">
        <v>1284</v>
      </c>
      <c r="C145" s="241" t="s">
        <v>363</v>
      </c>
      <c r="D145" s="262">
        <v>195</v>
      </c>
      <c r="E145" s="246" t="s">
        <v>616</v>
      </c>
      <c r="F145" s="263" t="s">
        <v>1292</v>
      </c>
      <c r="G145" s="244"/>
    </row>
    <row r="146" spans="1:7" ht="18" customHeight="1">
      <c r="A146" s="239">
        <v>3</v>
      </c>
      <c r="B146" s="240" t="s">
        <v>1285</v>
      </c>
      <c r="C146" s="241" t="s">
        <v>363</v>
      </c>
      <c r="D146" s="262">
        <v>195</v>
      </c>
      <c r="E146" s="246" t="s">
        <v>617</v>
      </c>
      <c r="F146" s="263" t="s">
        <v>1293</v>
      </c>
      <c r="G146" s="244"/>
    </row>
    <row r="147" spans="1:7" ht="18" customHeight="1">
      <c r="A147" s="239">
        <v>4</v>
      </c>
      <c r="B147" s="240" t="s">
        <v>1286</v>
      </c>
      <c r="C147" s="241" t="s">
        <v>363</v>
      </c>
      <c r="D147" s="262">
        <v>195</v>
      </c>
      <c r="E147" s="246" t="s">
        <v>618</v>
      </c>
      <c r="F147" s="263" t="s">
        <v>1294</v>
      </c>
      <c r="G147" s="244"/>
    </row>
    <row r="148" spans="1:7" ht="18" customHeight="1">
      <c r="A148" s="239">
        <v>5</v>
      </c>
      <c r="B148" s="240" t="s">
        <v>1287</v>
      </c>
      <c r="C148" s="241" t="s">
        <v>363</v>
      </c>
      <c r="D148" s="262">
        <v>195</v>
      </c>
      <c r="E148" s="246" t="s">
        <v>619</v>
      </c>
      <c r="F148" s="263" t="s">
        <v>1295</v>
      </c>
      <c r="G148" s="244"/>
    </row>
    <row r="149" spans="1:7" ht="18" customHeight="1">
      <c r="A149" s="239">
        <v>6</v>
      </c>
      <c r="B149" s="240" t="s">
        <v>1288</v>
      </c>
      <c r="C149" s="241" t="s">
        <v>363</v>
      </c>
      <c r="D149" s="262">
        <v>195</v>
      </c>
      <c r="E149" s="248" t="s">
        <v>620</v>
      </c>
      <c r="F149" s="263" t="s">
        <v>1296</v>
      </c>
      <c r="G149" s="244"/>
    </row>
    <row r="150" spans="1:7" ht="19.899999999999999" customHeight="1">
      <c r="A150" s="239">
        <v>7</v>
      </c>
      <c r="B150" s="240" t="s">
        <v>1289</v>
      </c>
      <c r="C150" s="241" t="s">
        <v>363</v>
      </c>
      <c r="D150" s="262">
        <v>195</v>
      </c>
      <c r="E150" s="246" t="s">
        <v>622</v>
      </c>
      <c r="F150" s="263" t="s">
        <v>1297</v>
      </c>
      <c r="G150" s="244"/>
    </row>
    <row r="151" spans="1:7" ht="18" customHeight="1">
      <c r="A151" s="239">
        <v>8</v>
      </c>
      <c r="B151" s="240" t="s">
        <v>1290</v>
      </c>
      <c r="C151" s="241" t="s">
        <v>363</v>
      </c>
      <c r="D151" s="262">
        <v>195</v>
      </c>
      <c r="E151" s="246" t="s">
        <v>647</v>
      </c>
      <c r="F151" s="263" t="s">
        <v>1298</v>
      </c>
      <c r="G151" s="244"/>
    </row>
    <row r="152" spans="1:7" ht="18" customHeight="1">
      <c r="A152" s="252" t="s">
        <v>479</v>
      </c>
      <c r="B152" s="233" t="s">
        <v>1300</v>
      </c>
      <c r="C152" s="234" t="s">
        <v>1280</v>
      </c>
      <c r="D152" s="242"/>
      <c r="E152" s="243"/>
      <c r="F152" s="233"/>
      <c r="G152" s="244"/>
    </row>
    <row r="153" spans="1:7" s="238" customFormat="1" ht="18" customHeight="1">
      <c r="A153" s="232" t="s">
        <v>261</v>
      </c>
      <c r="B153" s="233" t="s">
        <v>1</v>
      </c>
      <c r="C153" s="234" t="s">
        <v>0</v>
      </c>
      <c r="D153" s="235" t="s">
        <v>206</v>
      </c>
      <c r="E153" s="236" t="s">
        <v>2</v>
      </c>
      <c r="F153" s="233" t="s">
        <v>483</v>
      </c>
      <c r="G153" s="244"/>
    </row>
    <row r="154" spans="1:7" s="227" customFormat="1" ht="18" customHeight="1">
      <c r="A154" s="239">
        <v>1</v>
      </c>
      <c r="B154" s="240" t="s">
        <v>1254</v>
      </c>
      <c r="C154" s="241" t="s">
        <v>363</v>
      </c>
      <c r="D154" s="262">
        <v>195</v>
      </c>
      <c r="E154" s="243" t="s">
        <v>1386</v>
      </c>
      <c r="F154" s="263" t="s">
        <v>1264</v>
      </c>
      <c r="G154" s="247" t="s">
        <v>1322</v>
      </c>
    </row>
    <row r="155" spans="1:7" ht="18" customHeight="1">
      <c r="A155" s="239">
        <v>2</v>
      </c>
      <c r="B155" s="240" t="s">
        <v>1255</v>
      </c>
      <c r="C155" s="241" t="s">
        <v>363</v>
      </c>
      <c r="D155" s="262">
        <v>195</v>
      </c>
      <c r="E155" s="246" t="s">
        <v>633</v>
      </c>
      <c r="F155" s="263" t="s">
        <v>1265</v>
      </c>
      <c r="G155" s="247" t="s">
        <v>1374</v>
      </c>
    </row>
    <row r="156" spans="1:7" ht="18" customHeight="1">
      <c r="A156" s="239">
        <v>3</v>
      </c>
      <c r="B156" s="240" t="s">
        <v>1256</v>
      </c>
      <c r="C156" s="241" t="s">
        <v>363</v>
      </c>
      <c r="D156" s="262">
        <v>195</v>
      </c>
      <c r="E156" s="246" t="s">
        <v>636</v>
      </c>
      <c r="F156" s="263" t="s">
        <v>1266</v>
      </c>
      <c r="G156" s="247" t="s">
        <v>1375</v>
      </c>
    </row>
    <row r="157" spans="1:7" ht="18" customHeight="1">
      <c r="A157" s="239">
        <v>4</v>
      </c>
      <c r="B157" s="240" t="s">
        <v>1257</v>
      </c>
      <c r="C157" s="241" t="s">
        <v>363</v>
      </c>
      <c r="D157" s="262">
        <v>195</v>
      </c>
      <c r="E157" s="246" t="s">
        <v>990</v>
      </c>
      <c r="F157" s="263" t="s">
        <v>1267</v>
      </c>
      <c r="G157" s="247" t="s">
        <v>1376</v>
      </c>
    </row>
    <row r="158" spans="1:7" ht="18" customHeight="1">
      <c r="A158" s="239">
        <v>5</v>
      </c>
      <c r="B158" s="240" t="s">
        <v>1258</v>
      </c>
      <c r="C158" s="241" t="s">
        <v>363</v>
      </c>
      <c r="D158" s="262">
        <v>195</v>
      </c>
      <c r="E158" s="248" t="s">
        <v>1373</v>
      </c>
      <c r="F158" s="263" t="s">
        <v>1268</v>
      </c>
      <c r="G158" s="247" t="s">
        <v>1377</v>
      </c>
    </row>
    <row r="159" spans="1:7" ht="18" customHeight="1">
      <c r="A159" s="239">
        <v>6</v>
      </c>
      <c r="B159" s="240" t="s">
        <v>1259</v>
      </c>
      <c r="C159" s="241" t="s">
        <v>363</v>
      </c>
      <c r="D159" s="262">
        <v>195</v>
      </c>
      <c r="E159" s="248" t="s">
        <v>16</v>
      </c>
      <c r="F159" s="263" t="s">
        <v>1269</v>
      </c>
      <c r="G159" s="247" t="s">
        <v>1378</v>
      </c>
    </row>
    <row r="160" spans="1:7" ht="19.899999999999999" customHeight="1">
      <c r="A160" s="239">
        <v>7</v>
      </c>
      <c r="B160" s="240" t="s">
        <v>1260</v>
      </c>
      <c r="C160" s="241" t="s">
        <v>363</v>
      </c>
      <c r="D160" s="262">
        <v>195</v>
      </c>
      <c r="E160" s="248" t="s">
        <v>1383</v>
      </c>
      <c r="F160" s="263" t="s">
        <v>1270</v>
      </c>
      <c r="G160" s="247" t="s">
        <v>1379</v>
      </c>
    </row>
    <row r="161" spans="1:9" ht="18" customHeight="1">
      <c r="A161" s="239">
        <v>8</v>
      </c>
      <c r="B161" s="240" t="s">
        <v>1261</v>
      </c>
      <c r="C161" s="241" t="s">
        <v>363</v>
      </c>
      <c r="D161" s="262">
        <v>195</v>
      </c>
      <c r="E161" s="248" t="s">
        <v>1389</v>
      </c>
      <c r="F161" s="263" t="s">
        <v>1271</v>
      </c>
      <c r="G161" s="247" t="s">
        <v>1380</v>
      </c>
    </row>
    <row r="162" spans="1:9" ht="19.899999999999999" customHeight="1">
      <c r="A162" s="239">
        <v>9</v>
      </c>
      <c r="B162" s="240" t="s">
        <v>1262</v>
      </c>
      <c r="C162" s="241" t="s">
        <v>363</v>
      </c>
      <c r="D162" s="262">
        <v>195</v>
      </c>
      <c r="E162" s="243" t="s">
        <v>1401</v>
      </c>
      <c r="F162" s="263" t="s">
        <v>1272</v>
      </c>
      <c r="G162" s="247" t="s">
        <v>1381</v>
      </c>
    </row>
    <row r="163" spans="1:9" ht="18" customHeight="1">
      <c r="A163" s="239">
        <v>10</v>
      </c>
      <c r="B163" s="240" t="s">
        <v>1263</v>
      </c>
      <c r="C163" s="241" t="s">
        <v>363</v>
      </c>
      <c r="D163" s="262">
        <v>195</v>
      </c>
      <c r="E163" s="243" t="s">
        <v>1245</v>
      </c>
      <c r="F163" s="263" t="s">
        <v>1273</v>
      </c>
      <c r="G163" s="247" t="s">
        <v>1382</v>
      </c>
    </row>
    <row r="164" spans="1:9" s="227" customFormat="1" ht="18" customHeight="1" thickBot="1">
      <c r="A164" s="253"/>
      <c r="B164" s="245"/>
      <c r="C164" s="259" t="s">
        <v>352</v>
      </c>
      <c r="D164" s="264">
        <f>SUM(D127:D163)</f>
        <v>6435</v>
      </c>
      <c r="E164" s="261"/>
      <c r="F164" s="245"/>
      <c r="G164" s="231"/>
    </row>
    <row r="165" spans="1:9" ht="18" customHeight="1" thickTop="1"/>
    <row r="166" spans="1:9" ht="18" customHeight="1">
      <c r="A166" s="370" t="s">
        <v>1508</v>
      </c>
      <c r="B166" s="228"/>
      <c r="C166" s="229"/>
      <c r="D166" s="227"/>
      <c r="E166" s="265"/>
      <c r="F166" s="266"/>
    </row>
    <row r="167" spans="1:9" ht="18" customHeight="1">
      <c r="A167" s="252" t="s">
        <v>479</v>
      </c>
      <c r="B167" s="233" t="s">
        <v>1509</v>
      </c>
      <c r="C167" s="234" t="s">
        <v>1510</v>
      </c>
      <c r="D167" s="242"/>
      <c r="E167" s="243"/>
      <c r="F167" s="233"/>
      <c r="G167" s="244"/>
      <c r="I167" s="245" t="s">
        <v>1786</v>
      </c>
    </row>
    <row r="168" spans="1:9" s="238" customFormat="1" ht="18" customHeight="1">
      <c r="A168" s="232" t="s">
        <v>261</v>
      </c>
      <c r="B168" s="559" t="s">
        <v>6</v>
      </c>
      <c r="C168" s="560"/>
      <c r="D168" s="67" t="s">
        <v>550</v>
      </c>
      <c r="E168" s="267" t="s">
        <v>2</v>
      </c>
      <c r="F168" s="67" t="s">
        <v>551</v>
      </c>
      <c r="G168" s="268" t="s">
        <v>206</v>
      </c>
    </row>
    <row r="169" spans="1:9" ht="30" customHeight="1">
      <c r="A169" s="269">
        <v>1</v>
      </c>
      <c r="B169" s="561" t="s">
        <v>1511</v>
      </c>
      <c r="C169" s="562"/>
      <c r="D169" s="56">
        <v>2</v>
      </c>
      <c r="E169" s="270" t="s">
        <v>1512</v>
      </c>
      <c r="F169" s="271">
        <v>268</v>
      </c>
      <c r="G169" s="272">
        <f>F169*D169</f>
        <v>536</v>
      </c>
    </row>
    <row r="171" spans="1:9" ht="18" customHeight="1">
      <c r="A171" s="252" t="s">
        <v>479</v>
      </c>
      <c r="B171" s="233" t="s">
        <v>1760</v>
      </c>
      <c r="C171" s="234" t="s">
        <v>1761</v>
      </c>
      <c r="D171" s="242"/>
      <c r="E171" s="243"/>
      <c r="F171" s="233"/>
      <c r="G171" s="244"/>
    </row>
    <row r="172" spans="1:9" ht="18" customHeight="1">
      <c r="A172" s="232" t="s">
        <v>261</v>
      </c>
      <c r="B172" s="559" t="s">
        <v>6</v>
      </c>
      <c r="C172" s="560"/>
      <c r="D172" s="67" t="s">
        <v>550</v>
      </c>
      <c r="E172" s="267" t="s">
        <v>2</v>
      </c>
      <c r="F172" s="67" t="s">
        <v>551</v>
      </c>
      <c r="G172" s="268" t="s">
        <v>206</v>
      </c>
    </row>
    <row r="173" spans="1:9" ht="18" customHeight="1">
      <c r="A173" s="269">
        <v>1</v>
      </c>
      <c r="B173" s="561" t="s">
        <v>1511</v>
      </c>
      <c r="C173" s="562"/>
      <c r="D173" s="56">
        <v>10</v>
      </c>
      <c r="E173" s="270" t="s">
        <v>1762</v>
      </c>
      <c r="F173" s="271">
        <v>268</v>
      </c>
      <c r="G173" s="272">
        <f>F173*D173</f>
        <v>2680</v>
      </c>
    </row>
    <row r="174" spans="1:9" ht="12.75">
      <c r="A174" s="375"/>
      <c r="B174" s="110"/>
      <c r="C174" s="110"/>
      <c r="D174" s="59"/>
      <c r="F174" s="380"/>
      <c r="G174" s="381"/>
    </row>
    <row r="175" spans="1:9" ht="12.75">
      <c r="A175" s="252" t="s">
        <v>479</v>
      </c>
      <c r="B175" s="233" t="s">
        <v>1783</v>
      </c>
      <c r="C175" s="234" t="s">
        <v>1785</v>
      </c>
      <c r="D175" s="242"/>
      <c r="E175" s="243"/>
      <c r="F175" s="233"/>
      <c r="G175" s="244"/>
    </row>
    <row r="176" spans="1:9" ht="12.75">
      <c r="A176" s="232" t="s">
        <v>261</v>
      </c>
      <c r="B176" s="559" t="s">
        <v>6</v>
      </c>
      <c r="C176" s="560"/>
      <c r="D176" s="67" t="s">
        <v>550</v>
      </c>
      <c r="E176" s="267" t="s">
        <v>2</v>
      </c>
      <c r="F176" s="67" t="s">
        <v>551</v>
      </c>
      <c r="G176" s="268" t="s">
        <v>206</v>
      </c>
    </row>
    <row r="177" spans="1:7" ht="18" customHeight="1">
      <c r="A177" s="269">
        <v>1</v>
      </c>
      <c r="B177" s="561" t="s">
        <v>1511</v>
      </c>
      <c r="C177" s="562"/>
      <c r="D177" s="56">
        <v>20</v>
      </c>
      <c r="E177" s="270" t="s">
        <v>1762</v>
      </c>
      <c r="F177" s="271">
        <v>268</v>
      </c>
      <c r="G177" s="272">
        <f>F177*D177</f>
        <v>5360</v>
      </c>
    </row>
    <row r="178" spans="1:7" ht="18" customHeight="1">
      <c r="A178" s="375"/>
      <c r="B178" s="110"/>
      <c r="C178" s="110"/>
      <c r="D178" s="59"/>
      <c r="F178" s="380"/>
      <c r="G178" s="381"/>
    </row>
    <row r="179" spans="1:7" ht="18" customHeight="1">
      <c r="A179" s="252" t="s">
        <v>479</v>
      </c>
      <c r="B179" s="233" t="s">
        <v>1789</v>
      </c>
      <c r="C179" s="234" t="s">
        <v>1790</v>
      </c>
      <c r="D179" s="242"/>
      <c r="E179" s="243"/>
      <c r="F179" s="233"/>
      <c r="G179" s="244"/>
    </row>
    <row r="180" spans="1:7" ht="18" customHeight="1">
      <c r="A180" s="232" t="s">
        <v>261</v>
      </c>
      <c r="B180" s="559" t="s">
        <v>6</v>
      </c>
      <c r="C180" s="560"/>
      <c r="D180" s="67" t="s">
        <v>550</v>
      </c>
      <c r="E180" s="267" t="s">
        <v>2</v>
      </c>
      <c r="F180" s="67" t="s">
        <v>551</v>
      </c>
      <c r="G180" s="268" t="s">
        <v>206</v>
      </c>
    </row>
    <row r="181" spans="1:7" ht="18" customHeight="1">
      <c r="A181" s="269">
        <v>1</v>
      </c>
      <c r="B181" s="561" t="s">
        <v>1511</v>
      </c>
      <c r="C181" s="562"/>
      <c r="D181" s="56">
        <v>20</v>
      </c>
      <c r="E181" s="270" t="s">
        <v>1762</v>
      </c>
      <c r="F181" s="271">
        <v>268</v>
      </c>
      <c r="G181" s="272">
        <f>F181*D181</f>
        <v>5360</v>
      </c>
    </row>
    <row r="182" spans="1:7" ht="18" customHeight="1">
      <c r="A182" s="375"/>
      <c r="B182" s="110"/>
      <c r="C182" s="110"/>
      <c r="D182" s="59"/>
      <c r="F182" s="380"/>
      <c r="G182" s="381"/>
    </row>
    <row r="183" spans="1:7" ht="18" customHeight="1">
      <c r="A183" s="252" t="s">
        <v>479</v>
      </c>
      <c r="B183" s="233" t="s">
        <v>1918</v>
      </c>
      <c r="C183" s="234" t="s">
        <v>1919</v>
      </c>
      <c r="D183" s="242"/>
      <c r="E183" s="243"/>
      <c r="F183" s="233"/>
      <c r="G183" s="244"/>
    </row>
    <row r="184" spans="1:7" ht="18" customHeight="1">
      <c r="A184" s="232" t="s">
        <v>261</v>
      </c>
      <c r="B184" s="559" t="s">
        <v>6</v>
      </c>
      <c r="C184" s="560"/>
      <c r="D184" s="67" t="s">
        <v>550</v>
      </c>
      <c r="E184" s="267" t="s">
        <v>2</v>
      </c>
      <c r="F184" s="67" t="s">
        <v>551</v>
      </c>
      <c r="G184" s="268" t="s">
        <v>206</v>
      </c>
    </row>
    <row r="185" spans="1:7" ht="18" customHeight="1">
      <c r="A185" s="269">
        <v>1</v>
      </c>
      <c r="B185" s="561" t="s">
        <v>1920</v>
      </c>
      <c r="C185" s="562"/>
      <c r="D185" s="56">
        <v>1</v>
      </c>
      <c r="E185" s="270" t="s">
        <v>16</v>
      </c>
      <c r="F185" s="271">
        <v>288</v>
      </c>
      <c r="G185" s="272">
        <f>F185*D185</f>
        <v>288</v>
      </c>
    </row>
    <row r="186" spans="1:7" ht="18" customHeight="1">
      <c r="A186" s="375"/>
      <c r="B186" s="110"/>
      <c r="C186" s="110"/>
      <c r="D186" s="59"/>
      <c r="F186" s="380"/>
      <c r="G186" s="381"/>
    </row>
    <row r="187" spans="1:7" ht="18" customHeight="1">
      <c r="A187" s="252" t="s">
        <v>479</v>
      </c>
      <c r="B187" s="233" t="s">
        <v>1926</v>
      </c>
      <c r="C187" s="234" t="s">
        <v>1927</v>
      </c>
      <c r="D187" s="242"/>
      <c r="E187" s="243"/>
      <c r="F187" s="233"/>
      <c r="G187" s="244"/>
    </row>
    <row r="188" spans="1:7" ht="18" customHeight="1">
      <c r="A188" s="232" t="s">
        <v>261</v>
      </c>
      <c r="B188" s="559" t="s">
        <v>6</v>
      </c>
      <c r="C188" s="560"/>
      <c r="D188" s="67" t="s">
        <v>550</v>
      </c>
      <c r="E188" s="267" t="s">
        <v>2</v>
      </c>
      <c r="F188" s="67" t="s">
        <v>551</v>
      </c>
      <c r="G188" s="268" t="s">
        <v>206</v>
      </c>
    </row>
    <row r="189" spans="1:7" ht="18" customHeight="1">
      <c r="A189" s="269">
        <v>1</v>
      </c>
      <c r="B189" s="561" t="s">
        <v>1511</v>
      </c>
      <c r="C189" s="562"/>
      <c r="D189" s="56">
        <v>12</v>
      </c>
      <c r="E189" s="270" t="s">
        <v>16</v>
      </c>
      <c r="F189" s="271">
        <v>268</v>
      </c>
      <c r="G189" s="272">
        <f>F189*D189</f>
        <v>3216</v>
      </c>
    </row>
    <row r="190" spans="1:7" ht="18" customHeight="1">
      <c r="A190" s="375"/>
      <c r="B190" s="110"/>
      <c r="C190" s="110"/>
      <c r="D190" s="59"/>
      <c r="F190" s="380"/>
      <c r="G190" s="381"/>
    </row>
    <row r="191" spans="1:7" ht="18" customHeight="1">
      <c r="A191" s="252" t="s">
        <v>479</v>
      </c>
      <c r="B191" s="233" t="s">
        <v>1928</v>
      </c>
      <c r="C191" s="234" t="s">
        <v>1929</v>
      </c>
      <c r="D191" s="242"/>
      <c r="E191" s="243"/>
      <c r="F191" s="233"/>
      <c r="G191" s="244"/>
    </row>
    <row r="192" spans="1:7" ht="18" customHeight="1">
      <c r="A192" s="232" t="s">
        <v>261</v>
      </c>
      <c r="B192" s="559" t="s">
        <v>6</v>
      </c>
      <c r="C192" s="560"/>
      <c r="D192" s="67" t="s">
        <v>550</v>
      </c>
      <c r="E192" s="267" t="s">
        <v>2</v>
      </c>
      <c r="F192" s="67" t="s">
        <v>551</v>
      </c>
      <c r="G192" s="268" t="s">
        <v>206</v>
      </c>
    </row>
    <row r="193" spans="1:7" ht="18" customHeight="1">
      <c r="A193" s="269">
        <v>1</v>
      </c>
      <c r="B193" s="561" t="s">
        <v>1511</v>
      </c>
      <c r="C193" s="562"/>
      <c r="D193" s="56">
        <v>24</v>
      </c>
      <c r="E193" s="270" t="s">
        <v>16</v>
      </c>
      <c r="F193" s="271">
        <v>268</v>
      </c>
      <c r="G193" s="272">
        <f>F193*D193</f>
        <v>6432</v>
      </c>
    </row>
    <row r="194" spans="1:7" ht="18" customHeight="1" thickBot="1">
      <c r="A194" s="375"/>
      <c r="B194" s="110"/>
      <c r="C194" s="110"/>
      <c r="D194" s="59"/>
      <c r="F194" s="273" t="s">
        <v>351</v>
      </c>
      <c r="G194" s="274">
        <f>SUM(G169:G193)</f>
        <v>23872</v>
      </c>
    </row>
    <row r="195" spans="1:7" ht="18" customHeight="1" thickTop="1">
      <c r="A195" s="375"/>
      <c r="B195" s="110"/>
      <c r="C195" s="110"/>
      <c r="D195" s="59"/>
      <c r="F195" s="380"/>
      <c r="G195" s="381"/>
    </row>
    <row r="196" spans="1:7" ht="18" customHeight="1">
      <c r="A196" s="375"/>
      <c r="B196" s="110"/>
      <c r="C196" s="110"/>
      <c r="D196" s="59"/>
      <c r="F196" s="380"/>
      <c r="G196" s="381"/>
    </row>
    <row r="197" spans="1:7" ht="18" customHeight="1">
      <c r="A197" s="371"/>
      <c r="B197" s="372"/>
      <c r="C197" s="372"/>
      <c r="D197" s="150"/>
      <c r="E197" s="373"/>
      <c r="F197" s="150"/>
      <c r="G197" s="374"/>
    </row>
    <row r="199" spans="1:7" ht="18" customHeight="1">
      <c r="A199" s="227" t="s">
        <v>457</v>
      </c>
      <c r="B199" s="228"/>
      <c r="C199" s="229"/>
      <c r="D199" s="227"/>
      <c r="E199" s="265"/>
      <c r="F199" s="266"/>
    </row>
    <row r="200" spans="1:7" s="238" customFormat="1" ht="18" customHeight="1">
      <c r="A200" s="232" t="s">
        <v>261</v>
      </c>
      <c r="B200" s="233" t="s">
        <v>1</v>
      </c>
      <c r="C200" s="234" t="s">
        <v>0</v>
      </c>
      <c r="D200" s="235" t="s">
        <v>206</v>
      </c>
      <c r="E200" s="236" t="s">
        <v>2</v>
      </c>
      <c r="F200" s="233" t="s">
        <v>460</v>
      </c>
      <c r="G200" s="253"/>
    </row>
    <row r="202" spans="1:7" ht="18" customHeight="1">
      <c r="A202" s="239">
        <v>1</v>
      </c>
      <c r="B202" s="263" t="s">
        <v>458</v>
      </c>
      <c r="C202" s="241" t="s">
        <v>459</v>
      </c>
      <c r="D202" s="242">
        <v>495</v>
      </c>
      <c r="E202" s="243" t="s">
        <v>452</v>
      </c>
      <c r="F202" s="240" t="s">
        <v>461</v>
      </c>
    </row>
    <row r="203" spans="1:7" ht="18" customHeight="1">
      <c r="A203" s="239">
        <v>2</v>
      </c>
      <c r="B203" s="263" t="s">
        <v>462</v>
      </c>
      <c r="C203" s="241" t="s">
        <v>459</v>
      </c>
      <c r="D203" s="242">
        <v>495</v>
      </c>
      <c r="E203" s="243" t="s">
        <v>452</v>
      </c>
      <c r="F203" s="240" t="s">
        <v>463</v>
      </c>
    </row>
    <row r="204" spans="1:7" ht="18" customHeight="1" thickBot="1">
      <c r="C204" s="259" t="s">
        <v>351</v>
      </c>
      <c r="D204" s="275">
        <f>SUM(D202:D203)</f>
        <v>990</v>
      </c>
    </row>
    <row r="205" spans="1:7" ht="18" customHeight="1" thickTop="1"/>
    <row r="206" spans="1:7" ht="18" customHeight="1">
      <c r="A206" s="227" t="s">
        <v>653</v>
      </c>
      <c r="B206" s="228"/>
      <c r="C206" s="229"/>
      <c r="D206" s="227"/>
      <c r="E206" s="265"/>
      <c r="F206" s="266"/>
    </row>
    <row r="207" spans="1:7" ht="18" customHeight="1">
      <c r="A207" s="252" t="s">
        <v>479</v>
      </c>
      <c r="B207" s="233" t="s">
        <v>514</v>
      </c>
      <c r="C207" s="234" t="s">
        <v>515</v>
      </c>
      <c r="D207" s="276" t="s">
        <v>516</v>
      </c>
      <c r="E207" s="243"/>
      <c r="F207" s="233"/>
    </row>
    <row r="208" spans="1:7" s="238" customFormat="1" ht="18" customHeight="1">
      <c r="A208" s="232" t="s">
        <v>261</v>
      </c>
      <c r="B208" s="233" t="s">
        <v>1</v>
      </c>
      <c r="C208" s="234" t="s">
        <v>0</v>
      </c>
      <c r="D208" s="235" t="s">
        <v>206</v>
      </c>
      <c r="E208" s="236" t="s">
        <v>2</v>
      </c>
      <c r="F208" s="233"/>
      <c r="G208" s="253"/>
    </row>
    <row r="209" spans="1:6" ht="18" customHeight="1">
      <c r="A209" s="239">
        <v>1</v>
      </c>
      <c r="B209" s="240" t="s">
        <v>501</v>
      </c>
      <c r="C209" s="241" t="s">
        <v>500</v>
      </c>
      <c r="D209" s="242">
        <v>780</v>
      </c>
      <c r="E209" s="243" t="s">
        <v>16</v>
      </c>
      <c r="F209" s="240"/>
    </row>
    <row r="210" spans="1:6" ht="18" customHeight="1">
      <c r="A210" s="269">
        <v>2</v>
      </c>
      <c r="B210" s="240" t="s">
        <v>502</v>
      </c>
      <c r="C210" s="241" t="s">
        <v>500</v>
      </c>
      <c r="D210" s="242">
        <v>780</v>
      </c>
      <c r="E210" s="243" t="s">
        <v>16</v>
      </c>
      <c r="F210" s="240"/>
    </row>
    <row r="211" spans="1:6" ht="18" customHeight="1">
      <c r="A211" s="269">
        <v>3</v>
      </c>
      <c r="B211" s="240" t="s">
        <v>503</v>
      </c>
      <c r="C211" s="241" t="s">
        <v>500</v>
      </c>
      <c r="D211" s="242">
        <v>780</v>
      </c>
      <c r="E211" s="243" t="s">
        <v>16</v>
      </c>
      <c r="F211" s="240"/>
    </row>
    <row r="212" spans="1:6" ht="18" customHeight="1">
      <c r="A212" s="269">
        <v>4</v>
      </c>
      <c r="B212" s="240" t="s">
        <v>504</v>
      </c>
      <c r="C212" s="241" t="s">
        <v>500</v>
      </c>
      <c r="D212" s="242">
        <v>780</v>
      </c>
      <c r="E212" s="243" t="s">
        <v>16</v>
      </c>
      <c r="F212" s="240"/>
    </row>
    <row r="213" spans="1:6" ht="18" customHeight="1">
      <c r="A213" s="269">
        <v>5</v>
      </c>
      <c r="B213" s="240" t="s">
        <v>505</v>
      </c>
      <c r="C213" s="241" t="s">
        <v>500</v>
      </c>
      <c r="D213" s="242">
        <v>780</v>
      </c>
      <c r="E213" s="243" t="s">
        <v>16</v>
      </c>
      <c r="F213" s="240"/>
    </row>
    <row r="214" spans="1:6" ht="18" customHeight="1">
      <c r="A214" s="269">
        <v>6</v>
      </c>
      <c r="B214" s="240" t="s">
        <v>506</v>
      </c>
      <c r="C214" s="241" t="s">
        <v>500</v>
      </c>
      <c r="D214" s="242">
        <v>780</v>
      </c>
      <c r="E214" s="243" t="s">
        <v>16</v>
      </c>
      <c r="F214" s="240"/>
    </row>
    <row r="215" spans="1:6" ht="18" customHeight="1">
      <c r="A215" s="269">
        <v>7</v>
      </c>
      <c r="B215" s="240" t="s">
        <v>507</v>
      </c>
      <c r="C215" s="241" t="s">
        <v>500</v>
      </c>
      <c r="D215" s="242">
        <v>780</v>
      </c>
      <c r="E215" s="243" t="s">
        <v>16</v>
      </c>
      <c r="F215" s="240"/>
    </row>
    <row r="216" spans="1:6" ht="18" customHeight="1">
      <c r="A216" s="269">
        <v>8</v>
      </c>
      <c r="B216" s="240" t="s">
        <v>508</v>
      </c>
      <c r="C216" s="241" t="s">
        <v>500</v>
      </c>
      <c r="D216" s="242">
        <v>780</v>
      </c>
      <c r="E216" s="243" t="s">
        <v>16</v>
      </c>
      <c r="F216" s="240"/>
    </row>
    <row r="217" spans="1:6" ht="18" customHeight="1">
      <c r="A217" s="269">
        <v>9</v>
      </c>
      <c r="B217" s="240" t="s">
        <v>509</v>
      </c>
      <c r="C217" s="241" t="s">
        <v>500</v>
      </c>
      <c r="D217" s="242">
        <v>780</v>
      </c>
      <c r="E217" s="243" t="s">
        <v>517</v>
      </c>
      <c r="F217" s="240"/>
    </row>
    <row r="218" spans="1:6" ht="18" customHeight="1">
      <c r="A218" s="269">
        <v>10</v>
      </c>
      <c r="B218" s="240" t="s">
        <v>510</v>
      </c>
      <c r="C218" s="241" t="s">
        <v>500</v>
      </c>
      <c r="D218" s="242">
        <v>780</v>
      </c>
      <c r="E218" s="243" t="s">
        <v>517</v>
      </c>
      <c r="F218" s="240"/>
    </row>
    <row r="219" spans="1:6" ht="18" customHeight="1">
      <c r="A219" s="269">
        <v>11</v>
      </c>
      <c r="B219" s="240" t="s">
        <v>511</v>
      </c>
      <c r="C219" s="241" t="s">
        <v>500</v>
      </c>
      <c r="D219" s="242">
        <v>780</v>
      </c>
      <c r="E219" s="243" t="s">
        <v>517</v>
      </c>
      <c r="F219" s="240"/>
    </row>
    <row r="220" spans="1:6" ht="18" customHeight="1">
      <c r="A220" s="269">
        <v>12</v>
      </c>
      <c r="B220" s="240" t="s">
        <v>512</v>
      </c>
      <c r="C220" s="241" t="s">
        <v>500</v>
      </c>
      <c r="D220" s="242">
        <v>780</v>
      </c>
      <c r="E220" s="243" t="s">
        <v>517</v>
      </c>
      <c r="F220" s="240"/>
    </row>
    <row r="221" spans="1:6" ht="18" customHeight="1">
      <c r="A221" s="269">
        <v>13</v>
      </c>
      <c r="B221" s="240" t="s">
        <v>513</v>
      </c>
      <c r="C221" s="241" t="s">
        <v>500</v>
      </c>
      <c r="D221" s="242">
        <v>780</v>
      </c>
      <c r="E221" s="243" t="s">
        <v>482</v>
      </c>
      <c r="F221" s="240"/>
    </row>
    <row r="222" spans="1:6" ht="18" customHeight="1" thickBot="1">
      <c r="C222" s="259" t="s">
        <v>351</v>
      </c>
      <c r="D222" s="275">
        <f>SUM(D209:D221)</f>
        <v>10140</v>
      </c>
    </row>
    <row r="223" spans="1:6" ht="18" customHeight="1" thickTop="1">
      <c r="A223" s="227"/>
      <c r="B223" s="228"/>
      <c r="C223" s="229"/>
      <c r="D223" s="227"/>
      <c r="E223" s="265"/>
      <c r="F223" s="266"/>
    </row>
    <row r="224" spans="1:6" ht="18" customHeight="1">
      <c r="A224" s="227" t="s">
        <v>653</v>
      </c>
      <c r="B224" s="228"/>
      <c r="C224" s="229"/>
      <c r="D224" s="227"/>
      <c r="E224" s="265"/>
      <c r="F224" s="266"/>
    </row>
    <row r="225" spans="1:7" ht="18" customHeight="1">
      <c r="A225" s="252" t="s">
        <v>479</v>
      </c>
      <c r="B225" s="233" t="s">
        <v>654</v>
      </c>
      <c r="C225" s="234" t="s">
        <v>655</v>
      </c>
      <c r="D225" s="276" t="s">
        <v>516</v>
      </c>
      <c r="E225" s="243"/>
      <c r="F225" s="233"/>
    </row>
    <row r="226" spans="1:7" s="238" customFormat="1" ht="18" customHeight="1">
      <c r="A226" s="232" t="s">
        <v>261</v>
      </c>
      <c r="B226" s="233" t="s">
        <v>1</v>
      </c>
      <c r="C226" s="234" t="s">
        <v>0</v>
      </c>
      <c r="D226" s="235" t="s">
        <v>206</v>
      </c>
      <c r="E226" s="236" t="s">
        <v>2</v>
      </c>
      <c r="F226" s="233"/>
      <c r="G226" s="253"/>
    </row>
    <row r="227" spans="1:7" ht="18" customHeight="1">
      <c r="A227" s="239">
        <v>1</v>
      </c>
      <c r="B227" s="240" t="s">
        <v>656</v>
      </c>
      <c r="C227" s="241" t="s">
        <v>657</v>
      </c>
      <c r="D227" s="242">
        <v>420</v>
      </c>
      <c r="E227" s="243" t="s">
        <v>16</v>
      </c>
      <c r="F227" s="240"/>
    </row>
    <row r="228" spans="1:7" ht="18" customHeight="1">
      <c r="A228" s="269">
        <v>2</v>
      </c>
      <c r="B228" s="240" t="s">
        <v>658</v>
      </c>
      <c r="C228" s="241" t="s">
        <v>657</v>
      </c>
      <c r="D228" s="242">
        <v>420</v>
      </c>
      <c r="E228" s="243" t="s">
        <v>16</v>
      </c>
      <c r="F228" s="240"/>
    </row>
    <row r="229" spans="1:7" ht="18" customHeight="1">
      <c r="A229" s="269">
        <v>3</v>
      </c>
      <c r="B229" s="240" t="s">
        <v>659</v>
      </c>
      <c r="C229" s="241" t="s">
        <v>657</v>
      </c>
      <c r="D229" s="242">
        <v>420</v>
      </c>
      <c r="E229" s="243" t="s">
        <v>16</v>
      </c>
      <c r="F229" s="240"/>
    </row>
    <row r="230" spans="1:7" ht="18" customHeight="1">
      <c r="A230" s="269">
        <v>4</v>
      </c>
      <c r="B230" s="240" t="s">
        <v>660</v>
      </c>
      <c r="C230" s="241" t="s">
        <v>657</v>
      </c>
      <c r="D230" s="242">
        <v>420</v>
      </c>
      <c r="E230" s="243" t="s">
        <v>16</v>
      </c>
      <c r="F230" s="240"/>
    </row>
    <row r="231" spans="1:7" ht="18" customHeight="1">
      <c r="A231" s="269">
        <v>5</v>
      </c>
      <c r="B231" s="240" t="s">
        <v>661</v>
      </c>
      <c r="C231" s="241" t="s">
        <v>657</v>
      </c>
      <c r="D231" s="242">
        <v>420</v>
      </c>
      <c r="E231" s="243" t="s">
        <v>16</v>
      </c>
      <c r="F231" s="240"/>
    </row>
    <row r="232" spans="1:7" ht="18" customHeight="1">
      <c r="A232" s="269">
        <v>6</v>
      </c>
      <c r="B232" s="240" t="s">
        <v>662</v>
      </c>
      <c r="C232" s="241" t="s">
        <v>657</v>
      </c>
      <c r="D232" s="242">
        <v>420</v>
      </c>
      <c r="E232" s="243" t="s">
        <v>16</v>
      </c>
      <c r="F232" s="240"/>
    </row>
    <row r="233" spans="1:7" ht="18" customHeight="1">
      <c r="A233" s="269">
        <v>7</v>
      </c>
      <c r="B233" s="240" t="s">
        <v>663</v>
      </c>
      <c r="C233" s="241" t="s">
        <v>657</v>
      </c>
      <c r="D233" s="242">
        <v>420</v>
      </c>
      <c r="E233" s="243" t="s">
        <v>16</v>
      </c>
      <c r="F233" s="240"/>
    </row>
    <row r="234" spans="1:7" ht="18" customHeight="1">
      <c r="A234" s="269">
        <v>8</v>
      </c>
      <c r="B234" s="240" t="s">
        <v>664</v>
      </c>
      <c r="C234" s="241" t="s">
        <v>657</v>
      </c>
      <c r="D234" s="242">
        <v>420</v>
      </c>
      <c r="E234" s="243" t="s">
        <v>16</v>
      </c>
      <c r="F234" s="240"/>
    </row>
    <row r="235" spans="1:7" ht="18" customHeight="1">
      <c r="A235" s="269">
        <v>9</v>
      </c>
      <c r="B235" s="240" t="s">
        <v>665</v>
      </c>
      <c r="C235" s="241" t="s">
        <v>657</v>
      </c>
      <c r="D235" s="242">
        <v>420</v>
      </c>
      <c r="E235" s="243" t="s">
        <v>16</v>
      </c>
      <c r="F235" s="240"/>
    </row>
    <row r="236" spans="1:7" ht="18" customHeight="1">
      <c r="A236" s="269">
        <v>10</v>
      </c>
      <c r="B236" s="240" t="s">
        <v>666</v>
      </c>
      <c r="C236" s="241" t="s">
        <v>657</v>
      </c>
      <c r="D236" s="242">
        <v>420</v>
      </c>
      <c r="E236" s="243" t="s">
        <v>16</v>
      </c>
      <c r="F236" s="240"/>
    </row>
    <row r="237" spans="1:7" ht="18" customHeight="1">
      <c r="A237" s="269">
        <v>11</v>
      </c>
      <c r="B237" s="240" t="s">
        <v>667</v>
      </c>
      <c r="C237" s="241" t="s">
        <v>657</v>
      </c>
      <c r="D237" s="242">
        <v>420</v>
      </c>
      <c r="E237" s="243" t="s">
        <v>16</v>
      </c>
      <c r="F237" s="240"/>
    </row>
    <row r="238" spans="1:7" ht="18" customHeight="1">
      <c r="A238" s="269">
        <v>12</v>
      </c>
      <c r="B238" s="240" t="s">
        <v>668</v>
      </c>
      <c r="C238" s="241" t="s">
        <v>657</v>
      </c>
      <c r="D238" s="242">
        <v>420</v>
      </c>
      <c r="E238" s="243" t="s">
        <v>16</v>
      </c>
      <c r="F238" s="240"/>
    </row>
    <row r="239" spans="1:7" ht="18" customHeight="1" thickBot="1">
      <c r="C239" s="259" t="s">
        <v>351</v>
      </c>
      <c r="D239" s="275">
        <f>SUM(D227:D238)</f>
        <v>5040</v>
      </c>
    </row>
    <row r="240" spans="1:7" ht="18" customHeight="1" thickTop="1"/>
    <row r="241" spans="1:9" ht="18" customHeight="1">
      <c r="A241" s="227" t="s">
        <v>653</v>
      </c>
      <c r="B241" s="228"/>
      <c r="C241" s="229"/>
      <c r="D241" s="227"/>
      <c r="E241" s="265"/>
      <c r="F241" s="266"/>
    </row>
    <row r="242" spans="1:9" ht="18" customHeight="1">
      <c r="A242" s="252" t="s">
        <v>479</v>
      </c>
      <c r="B242" s="233" t="s">
        <v>669</v>
      </c>
      <c r="C242" s="234" t="s">
        <v>670</v>
      </c>
      <c r="D242" s="276" t="s">
        <v>516</v>
      </c>
      <c r="E242" s="243"/>
      <c r="F242" s="233"/>
    </row>
    <row r="243" spans="1:9" s="238" customFormat="1" ht="18" customHeight="1">
      <c r="A243" s="232" t="s">
        <v>261</v>
      </c>
      <c r="B243" s="233" t="s">
        <v>1</v>
      </c>
      <c r="C243" s="234" t="s">
        <v>0</v>
      </c>
      <c r="D243" s="235" t="s">
        <v>206</v>
      </c>
      <c r="E243" s="236" t="s">
        <v>2</v>
      </c>
      <c r="F243" s="233"/>
      <c r="G243" s="253"/>
    </row>
    <row r="244" spans="1:9" ht="18" customHeight="1">
      <c r="A244" s="239">
        <v>1</v>
      </c>
      <c r="C244" s="241" t="s">
        <v>671</v>
      </c>
      <c r="D244" s="242">
        <v>600</v>
      </c>
      <c r="E244" s="243" t="s">
        <v>452</v>
      </c>
      <c r="F244" s="240"/>
    </row>
    <row r="245" spans="1:9" ht="18" customHeight="1">
      <c r="A245" s="269">
        <v>2</v>
      </c>
      <c r="B245" s="240" t="s">
        <v>672</v>
      </c>
      <c r="C245" s="241" t="s">
        <v>500</v>
      </c>
      <c r="D245" s="242">
        <v>780</v>
      </c>
      <c r="E245" s="243" t="s">
        <v>452</v>
      </c>
      <c r="F245" s="240"/>
    </row>
    <row r="246" spans="1:9" ht="18" customHeight="1">
      <c r="A246" s="269">
        <v>3</v>
      </c>
      <c r="B246" s="240" t="s">
        <v>673</v>
      </c>
      <c r="C246" s="241" t="s">
        <v>500</v>
      </c>
      <c r="D246" s="242">
        <v>780</v>
      </c>
      <c r="E246" s="243" t="s">
        <v>452</v>
      </c>
      <c r="F246" s="240"/>
    </row>
    <row r="247" spans="1:9" ht="18" customHeight="1">
      <c r="A247" s="269">
        <v>4</v>
      </c>
      <c r="B247" s="240" t="s">
        <v>674</v>
      </c>
      <c r="C247" s="241" t="s">
        <v>500</v>
      </c>
      <c r="D247" s="242">
        <v>780</v>
      </c>
      <c r="E247" s="243" t="s">
        <v>452</v>
      </c>
      <c r="F247" s="240"/>
    </row>
    <row r="248" spans="1:9" ht="18" customHeight="1">
      <c r="A248" s="269">
        <v>5</v>
      </c>
      <c r="B248" s="240" t="s">
        <v>675</v>
      </c>
      <c r="C248" s="241" t="s">
        <v>500</v>
      </c>
      <c r="D248" s="242">
        <v>780</v>
      </c>
      <c r="E248" s="243" t="s">
        <v>452</v>
      </c>
      <c r="F248" s="240"/>
    </row>
    <row r="249" spans="1:9" ht="18" customHeight="1">
      <c r="A249" s="269">
        <v>6</v>
      </c>
      <c r="B249" s="240" t="s">
        <v>676</v>
      </c>
      <c r="C249" s="241" t="s">
        <v>500</v>
      </c>
      <c r="D249" s="242">
        <v>780</v>
      </c>
      <c r="E249" s="243" t="s">
        <v>452</v>
      </c>
      <c r="F249" s="240"/>
    </row>
    <row r="250" spans="1:9" ht="18" customHeight="1">
      <c r="A250" s="269">
        <v>7</v>
      </c>
      <c r="B250" s="240" t="s">
        <v>677</v>
      </c>
      <c r="C250" s="241" t="s">
        <v>500</v>
      </c>
      <c r="D250" s="242">
        <v>780</v>
      </c>
      <c r="E250" s="243" t="s">
        <v>452</v>
      </c>
      <c r="F250" s="240"/>
    </row>
    <row r="251" spans="1:9" ht="18" customHeight="1">
      <c r="A251" s="269">
        <v>8</v>
      </c>
      <c r="B251" s="240" t="s">
        <v>678</v>
      </c>
      <c r="C251" s="241" t="s">
        <v>500</v>
      </c>
      <c r="D251" s="242">
        <v>780</v>
      </c>
      <c r="E251" s="243" t="s">
        <v>452</v>
      </c>
      <c r="F251" s="240"/>
    </row>
    <row r="252" spans="1:9" ht="18" customHeight="1">
      <c r="A252" s="269">
        <v>9</v>
      </c>
      <c r="B252" s="240" t="s">
        <v>679</v>
      </c>
      <c r="C252" s="241" t="s">
        <v>500</v>
      </c>
      <c r="D252" s="242">
        <v>780</v>
      </c>
      <c r="E252" s="243" t="s">
        <v>452</v>
      </c>
      <c r="F252" s="240"/>
    </row>
    <row r="253" spans="1:9" ht="18" customHeight="1" thickBot="1">
      <c r="C253" s="259" t="s">
        <v>351</v>
      </c>
      <c r="D253" s="275">
        <f>SUM(D244:D252)</f>
        <v>6840</v>
      </c>
    </row>
    <row r="254" spans="1:9" ht="18" customHeight="1" thickTop="1"/>
    <row r="255" spans="1:9" ht="18" customHeight="1">
      <c r="A255" s="370" t="s">
        <v>680</v>
      </c>
      <c r="B255" s="228"/>
      <c r="C255" s="229"/>
      <c r="D255" s="227"/>
      <c r="E255" s="265"/>
      <c r="F255" s="227"/>
      <c r="G255" s="277"/>
    </row>
    <row r="256" spans="1:9" ht="18" customHeight="1">
      <c r="A256" s="252" t="s">
        <v>479</v>
      </c>
      <c r="B256" s="233" t="s">
        <v>681</v>
      </c>
      <c r="C256" s="234" t="s">
        <v>682</v>
      </c>
      <c r="D256" s="276" t="s">
        <v>683</v>
      </c>
      <c r="E256" s="243"/>
      <c r="F256" s="278"/>
      <c r="G256" s="239"/>
      <c r="I256" s="245" t="s">
        <v>1732</v>
      </c>
    </row>
    <row r="257" spans="1:7" s="238" customFormat="1" ht="18" customHeight="1">
      <c r="A257" s="232" t="s">
        <v>261</v>
      </c>
      <c r="B257" s="233" t="s">
        <v>684</v>
      </c>
      <c r="C257" s="234" t="s">
        <v>6</v>
      </c>
      <c r="D257" s="67" t="s">
        <v>550</v>
      </c>
      <c r="E257" s="267" t="s">
        <v>2</v>
      </c>
      <c r="F257" s="226" t="s">
        <v>551</v>
      </c>
      <c r="G257" s="268" t="s">
        <v>206</v>
      </c>
    </row>
    <row r="258" spans="1:7" ht="18" customHeight="1">
      <c r="A258" s="239">
        <v>1</v>
      </c>
      <c r="B258" s="115" t="s">
        <v>685</v>
      </c>
      <c r="C258" s="115" t="s">
        <v>686</v>
      </c>
      <c r="D258" s="61">
        <v>1</v>
      </c>
      <c r="E258" s="279" t="s">
        <v>517</v>
      </c>
      <c r="F258" s="116">
        <v>105</v>
      </c>
      <c r="G258" s="280">
        <f>D258*F258</f>
        <v>105</v>
      </c>
    </row>
    <row r="259" spans="1:7" ht="18" customHeight="1">
      <c r="A259" s="269">
        <v>2</v>
      </c>
      <c r="B259" s="115" t="s">
        <v>687</v>
      </c>
      <c r="C259" s="115" t="s">
        <v>688</v>
      </c>
      <c r="D259" s="61">
        <v>1</v>
      </c>
      <c r="E259" s="279" t="s">
        <v>517</v>
      </c>
      <c r="F259" s="116">
        <v>210</v>
      </c>
      <c r="G259" s="280">
        <f t="shared" ref="G259:G265" si="0">D259*F259</f>
        <v>210</v>
      </c>
    </row>
    <row r="260" spans="1:7" ht="18" customHeight="1">
      <c r="A260" s="269">
        <v>3</v>
      </c>
      <c r="B260" s="115" t="s">
        <v>689</v>
      </c>
      <c r="C260" s="115" t="s">
        <v>690</v>
      </c>
      <c r="D260" s="61">
        <v>1</v>
      </c>
      <c r="E260" s="279" t="s">
        <v>517</v>
      </c>
      <c r="F260" s="116">
        <v>120</v>
      </c>
      <c r="G260" s="280">
        <f t="shared" si="0"/>
        <v>120</v>
      </c>
    </row>
    <row r="261" spans="1:7" ht="18" customHeight="1">
      <c r="A261" s="269">
        <v>4</v>
      </c>
      <c r="B261" s="115" t="s">
        <v>691</v>
      </c>
      <c r="C261" s="115" t="s">
        <v>692</v>
      </c>
      <c r="D261" s="61">
        <v>1</v>
      </c>
      <c r="E261" s="279" t="s">
        <v>517</v>
      </c>
      <c r="F261" s="116">
        <v>120</v>
      </c>
      <c r="G261" s="280">
        <f t="shared" si="0"/>
        <v>120</v>
      </c>
    </row>
    <row r="262" spans="1:7" ht="18" customHeight="1">
      <c r="A262" s="269">
        <v>5</v>
      </c>
      <c r="B262" s="115" t="s">
        <v>693</v>
      </c>
      <c r="C262" s="115" t="s">
        <v>694</v>
      </c>
      <c r="D262" s="61">
        <v>6</v>
      </c>
      <c r="E262" s="279" t="s">
        <v>517</v>
      </c>
      <c r="F262" s="116">
        <v>120</v>
      </c>
      <c r="G262" s="280">
        <f t="shared" si="0"/>
        <v>720</v>
      </c>
    </row>
    <row r="263" spans="1:7" ht="18" customHeight="1">
      <c r="A263" s="269">
        <v>6</v>
      </c>
      <c r="B263" s="115" t="s">
        <v>695</v>
      </c>
      <c r="C263" s="115" t="s">
        <v>696</v>
      </c>
      <c r="D263" s="61">
        <v>2</v>
      </c>
      <c r="E263" s="279" t="s">
        <v>517</v>
      </c>
      <c r="F263" s="116">
        <v>210</v>
      </c>
      <c r="G263" s="280">
        <f t="shared" si="0"/>
        <v>420</v>
      </c>
    </row>
    <row r="264" spans="1:7" ht="18" customHeight="1">
      <c r="A264" s="269">
        <v>7</v>
      </c>
      <c r="B264" s="115" t="s">
        <v>697</v>
      </c>
      <c r="C264" s="115" t="s">
        <v>698</v>
      </c>
      <c r="D264" s="61">
        <v>1</v>
      </c>
      <c r="E264" s="279" t="s">
        <v>517</v>
      </c>
      <c r="F264" s="116">
        <v>39</v>
      </c>
      <c r="G264" s="280">
        <f t="shared" si="0"/>
        <v>39</v>
      </c>
    </row>
    <row r="265" spans="1:7" ht="18" customHeight="1">
      <c r="A265" s="269">
        <v>8</v>
      </c>
      <c r="B265" s="115" t="s">
        <v>699</v>
      </c>
      <c r="C265" s="115" t="s">
        <v>700</v>
      </c>
      <c r="D265" s="61">
        <v>2</v>
      </c>
      <c r="E265" s="279" t="s">
        <v>517</v>
      </c>
      <c r="F265" s="116">
        <v>195</v>
      </c>
      <c r="G265" s="280">
        <f t="shared" si="0"/>
        <v>390</v>
      </c>
    </row>
    <row r="266" spans="1:7" ht="18" customHeight="1" thickBot="1">
      <c r="F266" s="259" t="s">
        <v>352</v>
      </c>
      <c r="G266" s="281">
        <f>SUM(G258:G265)</f>
        <v>2124</v>
      </c>
    </row>
    <row r="267" spans="1:7" ht="18" customHeight="1" thickTop="1"/>
    <row r="268" spans="1:7" ht="18" customHeight="1">
      <c r="A268" s="252" t="s">
        <v>479</v>
      </c>
      <c r="B268" s="282" t="s">
        <v>1537</v>
      </c>
      <c r="C268" s="282" t="s">
        <v>1538</v>
      </c>
      <c r="D268" s="323" t="s">
        <v>683</v>
      </c>
      <c r="E268" s="243"/>
      <c r="F268" s="282"/>
      <c r="G268" s="239"/>
    </row>
    <row r="269" spans="1:7" s="238" customFormat="1" ht="18" customHeight="1">
      <c r="A269" s="232" t="s">
        <v>261</v>
      </c>
      <c r="B269" s="282" t="s">
        <v>684</v>
      </c>
      <c r="C269" s="282" t="s">
        <v>6</v>
      </c>
      <c r="D269" s="67" t="s">
        <v>550</v>
      </c>
      <c r="E269" s="267" t="s">
        <v>2</v>
      </c>
      <c r="F269" s="67" t="s">
        <v>551</v>
      </c>
      <c r="G269" s="268" t="s">
        <v>206</v>
      </c>
    </row>
    <row r="270" spans="1:7" ht="18" customHeight="1">
      <c r="A270" s="239">
        <v>1</v>
      </c>
      <c r="B270" s="254" t="s">
        <v>1539</v>
      </c>
      <c r="C270" s="254" t="s">
        <v>1540</v>
      </c>
      <c r="D270" s="239">
        <v>2</v>
      </c>
      <c r="E270" s="270" t="s">
        <v>1541</v>
      </c>
      <c r="F270" s="116">
        <v>210</v>
      </c>
      <c r="G270" s="280">
        <f>D270*F270</f>
        <v>420</v>
      </c>
    </row>
    <row r="271" spans="1:7" ht="18" customHeight="1">
      <c r="A271" s="239">
        <v>2</v>
      </c>
      <c r="B271" s="254" t="s">
        <v>1542</v>
      </c>
      <c r="C271" s="254" t="s">
        <v>1543</v>
      </c>
      <c r="D271" s="239">
        <v>20</v>
      </c>
      <c r="E271" s="270" t="s">
        <v>1541</v>
      </c>
      <c r="F271" s="116">
        <v>200</v>
      </c>
      <c r="G271" s="280">
        <f t="shared" ref="G271:G272" si="1">D271*F271</f>
        <v>4000</v>
      </c>
    </row>
    <row r="272" spans="1:7" ht="18" customHeight="1">
      <c r="A272" s="239">
        <v>3</v>
      </c>
      <c r="B272" s="254" t="s">
        <v>1544</v>
      </c>
      <c r="C272" s="254" t="s">
        <v>1545</v>
      </c>
      <c r="D272" s="239">
        <v>1</v>
      </c>
      <c r="E272" s="270" t="s">
        <v>1541</v>
      </c>
      <c r="F272" s="116">
        <v>30</v>
      </c>
      <c r="G272" s="280">
        <f t="shared" si="1"/>
        <v>30</v>
      </c>
    </row>
    <row r="273" spans="1:7" ht="18" customHeight="1" thickBot="1">
      <c r="F273" s="259" t="s">
        <v>352</v>
      </c>
      <c r="G273" s="281">
        <f>SUM(G270:G272)</f>
        <v>4450</v>
      </c>
    </row>
    <row r="274" spans="1:7" ht="18" customHeight="1" thickTop="1">
      <c r="G274" s="245"/>
    </row>
    <row r="275" spans="1:7" ht="18" customHeight="1">
      <c r="A275" s="252" t="s">
        <v>479</v>
      </c>
      <c r="B275" s="282" t="s">
        <v>1763</v>
      </c>
      <c r="C275" s="282" t="s">
        <v>1764</v>
      </c>
      <c r="D275" s="323" t="s">
        <v>683</v>
      </c>
      <c r="E275" s="243"/>
      <c r="F275" s="282"/>
      <c r="G275" s="239"/>
    </row>
    <row r="276" spans="1:7" ht="18" customHeight="1">
      <c r="A276" s="232" t="s">
        <v>261</v>
      </c>
      <c r="B276" s="282" t="s">
        <v>684</v>
      </c>
      <c r="C276" s="282" t="s">
        <v>6</v>
      </c>
      <c r="D276" s="67" t="s">
        <v>550</v>
      </c>
      <c r="E276" s="267" t="s">
        <v>2</v>
      </c>
      <c r="F276" s="67" t="s">
        <v>551</v>
      </c>
      <c r="G276" s="268" t="s">
        <v>206</v>
      </c>
    </row>
    <row r="277" spans="1:7" ht="18" customHeight="1">
      <c r="A277" s="239">
        <v>1</v>
      </c>
      <c r="B277" s="254" t="s">
        <v>1766</v>
      </c>
      <c r="C277" s="254" t="s">
        <v>1765</v>
      </c>
      <c r="D277" s="239">
        <v>8</v>
      </c>
      <c r="E277" s="270" t="s">
        <v>1770</v>
      </c>
      <c r="F277" s="116">
        <v>200</v>
      </c>
      <c r="G277" s="280">
        <f>D277*F277</f>
        <v>1600</v>
      </c>
    </row>
    <row r="278" spans="1:7" ht="18" customHeight="1">
      <c r="A278" s="239">
        <v>2</v>
      </c>
      <c r="B278" s="254" t="s">
        <v>1539</v>
      </c>
      <c r="C278" s="254" t="s">
        <v>1540</v>
      </c>
      <c r="D278" s="239">
        <v>4</v>
      </c>
      <c r="E278" s="270" t="s">
        <v>1770</v>
      </c>
      <c r="F278" s="116">
        <v>210</v>
      </c>
      <c r="G278" s="280">
        <f t="shared" ref="G278:G280" si="2">D278*F278</f>
        <v>840</v>
      </c>
    </row>
    <row r="279" spans="1:7" ht="18" customHeight="1">
      <c r="A279" s="239">
        <v>3</v>
      </c>
      <c r="B279" s="254" t="s">
        <v>1767</v>
      </c>
      <c r="C279" s="254" t="s">
        <v>1768</v>
      </c>
      <c r="D279" s="239">
        <v>1</v>
      </c>
      <c r="E279" s="270" t="s">
        <v>1770</v>
      </c>
      <c r="F279" s="116">
        <v>30</v>
      </c>
      <c r="G279" s="280">
        <f t="shared" si="2"/>
        <v>30</v>
      </c>
    </row>
    <row r="280" spans="1:7" ht="18" customHeight="1">
      <c r="A280" s="239">
        <v>4</v>
      </c>
      <c r="B280" s="254"/>
      <c r="C280" s="254" t="s">
        <v>1769</v>
      </c>
      <c r="D280" s="239">
        <v>1</v>
      </c>
      <c r="E280" s="270" t="s">
        <v>1770</v>
      </c>
      <c r="F280" s="116">
        <v>91.36</v>
      </c>
      <c r="G280" s="280">
        <f t="shared" si="2"/>
        <v>91.36</v>
      </c>
    </row>
    <row r="281" spans="1:7" ht="18" customHeight="1" thickBot="1">
      <c r="D281" s="253"/>
      <c r="F281" s="259" t="s">
        <v>352</v>
      </c>
      <c r="G281" s="281">
        <f>SUM(G277:G280)</f>
        <v>2561.36</v>
      </c>
    </row>
    <row r="282" spans="1:7" ht="18" customHeight="1" thickTop="1">
      <c r="A282" s="252" t="s">
        <v>479</v>
      </c>
      <c r="B282" s="282" t="s">
        <v>1799</v>
      </c>
      <c r="C282" s="282" t="s">
        <v>1800</v>
      </c>
      <c r="D282" s="323" t="s">
        <v>683</v>
      </c>
      <c r="E282" s="243"/>
      <c r="F282" s="282"/>
      <c r="G282" s="239"/>
    </row>
    <row r="283" spans="1:7" ht="18" customHeight="1">
      <c r="A283" s="232" t="s">
        <v>261</v>
      </c>
      <c r="B283" s="282" t="s">
        <v>684</v>
      </c>
      <c r="C283" s="282" t="s">
        <v>6</v>
      </c>
      <c r="D283" s="67" t="s">
        <v>550</v>
      </c>
      <c r="E283" s="267" t="s">
        <v>2</v>
      </c>
      <c r="F283" s="67" t="s">
        <v>551</v>
      </c>
      <c r="G283" s="268" t="s">
        <v>206</v>
      </c>
    </row>
    <row r="284" spans="1:7" ht="18" customHeight="1">
      <c r="A284" s="239">
        <v>1</v>
      </c>
      <c r="B284" s="254" t="s">
        <v>1539</v>
      </c>
      <c r="C284" s="254" t="s">
        <v>1540</v>
      </c>
      <c r="D284" s="239">
        <v>5</v>
      </c>
      <c r="E284" s="270" t="s">
        <v>1669</v>
      </c>
      <c r="F284" s="116">
        <v>210</v>
      </c>
      <c r="G284" s="280">
        <f>D284*F284</f>
        <v>1050</v>
      </c>
    </row>
    <row r="285" spans="1:7" ht="18" customHeight="1">
      <c r="A285" s="239">
        <v>2</v>
      </c>
      <c r="B285" s="254" t="s">
        <v>1801</v>
      </c>
      <c r="C285" s="254" t="s">
        <v>1765</v>
      </c>
      <c r="D285" s="239">
        <v>5</v>
      </c>
      <c r="E285" s="270" t="s">
        <v>1669</v>
      </c>
      <c r="F285" s="116">
        <v>200</v>
      </c>
      <c r="G285" s="280">
        <f t="shared" ref="G285" si="3">D285*F285</f>
        <v>1000</v>
      </c>
    </row>
    <row r="286" spans="1:7" ht="18" customHeight="1">
      <c r="A286" s="239">
        <v>3</v>
      </c>
      <c r="B286" s="254"/>
      <c r="C286" s="254" t="s">
        <v>1769</v>
      </c>
      <c r="D286" s="239">
        <v>1</v>
      </c>
      <c r="E286" s="270" t="s">
        <v>1669</v>
      </c>
      <c r="F286" s="116">
        <v>91.96</v>
      </c>
      <c r="G286" s="280">
        <f>D286*F286</f>
        <v>91.96</v>
      </c>
    </row>
    <row r="287" spans="1:7" ht="18" customHeight="1" thickBot="1">
      <c r="D287" s="253"/>
      <c r="F287" s="259" t="s">
        <v>352</v>
      </c>
      <c r="G287" s="281">
        <f>SUM(G283:G286)</f>
        <v>2141.96</v>
      </c>
    </row>
    <row r="288" spans="1:7" ht="18" customHeight="1" thickTop="1">
      <c r="D288" s="253"/>
      <c r="F288" s="382"/>
      <c r="G288" s="383"/>
    </row>
    <row r="289" spans="1:7" ht="18" customHeight="1">
      <c r="D289" s="253"/>
      <c r="F289" s="382"/>
      <c r="G289" s="383"/>
    </row>
    <row r="290" spans="1:7" ht="18" customHeight="1">
      <c r="D290" s="253"/>
      <c r="F290" s="382"/>
      <c r="G290" s="383"/>
    </row>
    <row r="292" spans="1:7" ht="18" customHeight="1">
      <c r="A292" s="227" t="s">
        <v>701</v>
      </c>
      <c r="B292" s="228"/>
      <c r="C292" s="229"/>
      <c r="D292" s="227"/>
      <c r="E292" s="265"/>
      <c r="F292" s="266"/>
    </row>
    <row r="293" spans="1:7" ht="18" customHeight="1">
      <c r="A293" s="252" t="s">
        <v>479</v>
      </c>
      <c r="B293" s="282" t="s">
        <v>702</v>
      </c>
      <c r="C293" s="282" t="s">
        <v>703</v>
      </c>
      <c r="D293" s="563" t="s">
        <v>704</v>
      </c>
      <c r="E293" s="563"/>
      <c r="F293" s="282"/>
      <c r="G293" s="239"/>
    </row>
    <row r="294" spans="1:7" s="238" customFormat="1" ht="18" customHeight="1">
      <c r="A294" s="232" t="s">
        <v>261</v>
      </c>
      <c r="B294" s="282" t="s">
        <v>0</v>
      </c>
      <c r="C294" s="282" t="s">
        <v>6</v>
      </c>
      <c r="D294" s="67" t="s">
        <v>550</v>
      </c>
      <c r="E294" s="267" t="s">
        <v>2</v>
      </c>
      <c r="F294" s="67" t="s">
        <v>551</v>
      </c>
      <c r="G294" s="268" t="s">
        <v>206</v>
      </c>
    </row>
    <row r="295" spans="1:7" ht="18" customHeight="1">
      <c r="A295" s="269">
        <v>1</v>
      </c>
      <c r="B295" s="246" t="s">
        <v>705</v>
      </c>
      <c r="C295" s="81" t="s">
        <v>706</v>
      </c>
      <c r="D295" s="56">
        <v>68</v>
      </c>
      <c r="E295" s="270" t="s">
        <v>452</v>
      </c>
      <c r="F295" s="283">
        <v>207</v>
      </c>
      <c r="G295" s="280">
        <f>F295*D295</f>
        <v>14076</v>
      </c>
    </row>
    <row r="296" spans="1:7" ht="18" customHeight="1">
      <c r="A296" s="269">
        <v>2</v>
      </c>
      <c r="B296" s="246" t="s">
        <v>707</v>
      </c>
      <c r="C296" s="85" t="s">
        <v>708</v>
      </c>
      <c r="D296" s="56">
        <v>3</v>
      </c>
      <c r="E296" s="270" t="s">
        <v>452</v>
      </c>
      <c r="F296" s="283">
        <v>111</v>
      </c>
      <c r="G296" s="280">
        <f>F296*D296</f>
        <v>333</v>
      </c>
    </row>
    <row r="297" spans="1:7" ht="18" customHeight="1">
      <c r="A297" s="269"/>
      <c r="B297" s="246"/>
      <c r="C297" s="81"/>
      <c r="D297" s="56"/>
      <c r="E297" s="270"/>
      <c r="F297" s="283"/>
      <c r="G297" s="280"/>
    </row>
    <row r="298" spans="1:7" ht="18" customHeight="1">
      <c r="A298" s="252" t="s">
        <v>479</v>
      </c>
      <c r="B298" s="282" t="s">
        <v>709</v>
      </c>
      <c r="C298" s="282" t="s">
        <v>710</v>
      </c>
      <c r="D298" s="563" t="s">
        <v>704</v>
      </c>
      <c r="E298" s="563"/>
      <c r="F298" s="282"/>
      <c r="G298" s="239"/>
    </row>
    <row r="299" spans="1:7" s="238" customFormat="1" ht="18" customHeight="1">
      <c r="A299" s="232" t="s">
        <v>261</v>
      </c>
      <c r="B299" s="282" t="s">
        <v>0</v>
      </c>
      <c r="C299" s="282" t="s">
        <v>6</v>
      </c>
      <c r="D299" s="67" t="s">
        <v>550</v>
      </c>
      <c r="E299" s="267" t="s">
        <v>2</v>
      </c>
      <c r="F299" s="67" t="s">
        <v>551</v>
      </c>
      <c r="G299" s="268" t="s">
        <v>206</v>
      </c>
    </row>
    <row r="300" spans="1:7" ht="18" customHeight="1">
      <c r="A300" s="269">
        <v>1</v>
      </c>
      <c r="B300" s="246" t="s">
        <v>705</v>
      </c>
      <c r="C300" s="81" t="s">
        <v>711</v>
      </c>
      <c r="D300" s="56">
        <v>1</v>
      </c>
      <c r="E300" s="270" t="s">
        <v>712</v>
      </c>
      <c r="F300" s="283">
        <v>230</v>
      </c>
      <c r="G300" s="280">
        <f>F300*D300</f>
        <v>230</v>
      </c>
    </row>
    <row r="301" spans="1:7" ht="18" customHeight="1">
      <c r="A301" s="269">
        <v>2</v>
      </c>
      <c r="B301" s="246" t="s">
        <v>707</v>
      </c>
      <c r="C301" s="81" t="s">
        <v>713</v>
      </c>
      <c r="D301" s="56">
        <v>1</v>
      </c>
      <c r="E301" s="270" t="s">
        <v>712</v>
      </c>
      <c r="F301" s="283">
        <v>125</v>
      </c>
      <c r="G301" s="280">
        <f>F301*D301</f>
        <v>125</v>
      </c>
    </row>
    <row r="302" spans="1:7" ht="18" customHeight="1">
      <c r="A302" s="269"/>
      <c r="B302" s="246"/>
      <c r="C302" s="81"/>
      <c r="D302" s="56"/>
      <c r="E302" s="270"/>
      <c r="F302" s="283"/>
      <c r="G302" s="280"/>
    </row>
    <row r="303" spans="1:7" ht="18" customHeight="1">
      <c r="A303" s="252" t="s">
        <v>479</v>
      </c>
      <c r="B303" s="282" t="s">
        <v>714</v>
      </c>
      <c r="C303" s="282" t="s">
        <v>715</v>
      </c>
      <c r="D303" s="563" t="s">
        <v>704</v>
      </c>
      <c r="E303" s="563"/>
      <c r="F303" s="282"/>
      <c r="G303" s="239"/>
    </row>
    <row r="304" spans="1:7" s="238" customFormat="1" ht="18" customHeight="1">
      <c r="A304" s="232" t="s">
        <v>261</v>
      </c>
      <c r="B304" s="282" t="s">
        <v>0</v>
      </c>
      <c r="C304" s="282" t="s">
        <v>6</v>
      </c>
      <c r="D304" s="67" t="s">
        <v>550</v>
      </c>
      <c r="E304" s="267" t="s">
        <v>2</v>
      </c>
      <c r="F304" s="67" t="s">
        <v>551</v>
      </c>
      <c r="G304" s="268" t="s">
        <v>206</v>
      </c>
    </row>
    <row r="305" spans="1:7" ht="18" customHeight="1">
      <c r="A305" s="269">
        <v>1</v>
      </c>
      <c r="B305" s="246" t="s">
        <v>716</v>
      </c>
      <c r="C305" s="85" t="s">
        <v>708</v>
      </c>
      <c r="D305" s="56">
        <v>6</v>
      </c>
      <c r="E305" s="270" t="s">
        <v>452</v>
      </c>
      <c r="F305" s="284">
        <v>111</v>
      </c>
      <c r="G305" s="280">
        <f>F305*D305</f>
        <v>666</v>
      </c>
    </row>
    <row r="306" spans="1:7" ht="18" customHeight="1">
      <c r="A306" s="269"/>
      <c r="B306" s="246"/>
      <c r="C306" s="81"/>
      <c r="D306" s="56"/>
      <c r="E306" s="270"/>
      <c r="F306" s="283"/>
      <c r="G306" s="280"/>
    </row>
    <row r="307" spans="1:7" ht="18" customHeight="1">
      <c r="A307" s="252" t="s">
        <v>479</v>
      </c>
      <c r="B307" s="282" t="s">
        <v>717</v>
      </c>
      <c r="C307" s="282" t="s">
        <v>718</v>
      </c>
      <c r="D307" s="563" t="s">
        <v>704</v>
      </c>
      <c r="E307" s="563"/>
      <c r="F307" s="282"/>
      <c r="G307" s="239"/>
    </row>
    <row r="308" spans="1:7" s="238" customFormat="1" ht="18" customHeight="1">
      <c r="A308" s="232" t="s">
        <v>261</v>
      </c>
      <c r="B308" s="282" t="s">
        <v>0</v>
      </c>
      <c r="C308" s="282" t="s">
        <v>6</v>
      </c>
      <c r="D308" s="67" t="s">
        <v>550</v>
      </c>
      <c r="E308" s="267" t="s">
        <v>2</v>
      </c>
      <c r="F308" s="67" t="s">
        <v>551</v>
      </c>
      <c r="G308" s="268" t="s">
        <v>206</v>
      </c>
    </row>
    <row r="309" spans="1:7" ht="18" customHeight="1">
      <c r="A309" s="269">
        <v>1</v>
      </c>
      <c r="B309" s="246" t="s">
        <v>719</v>
      </c>
      <c r="C309" s="85" t="s">
        <v>706</v>
      </c>
      <c r="D309" s="56">
        <v>36</v>
      </c>
      <c r="E309" s="279" t="s">
        <v>517</v>
      </c>
      <c r="F309" s="283">
        <v>207</v>
      </c>
      <c r="G309" s="280">
        <f>F309*D309</f>
        <v>7452</v>
      </c>
    </row>
    <row r="310" spans="1:7" ht="18" customHeight="1">
      <c r="A310" s="269">
        <v>2</v>
      </c>
      <c r="B310" s="246" t="s">
        <v>716</v>
      </c>
      <c r="C310" s="85" t="s">
        <v>708</v>
      </c>
      <c r="D310" s="56">
        <v>5</v>
      </c>
      <c r="E310" s="279" t="s">
        <v>517</v>
      </c>
      <c r="F310" s="283">
        <v>111</v>
      </c>
      <c r="G310" s="280">
        <f>F310*D310</f>
        <v>555</v>
      </c>
    </row>
    <row r="311" spans="1:7" ht="18" customHeight="1">
      <c r="A311" s="269"/>
      <c r="B311" s="246"/>
      <c r="C311" s="81"/>
      <c r="D311" s="56"/>
      <c r="E311" s="270"/>
      <c r="F311" s="283"/>
      <c r="G311" s="280"/>
    </row>
    <row r="312" spans="1:7" ht="18" customHeight="1">
      <c r="A312" s="252" t="s">
        <v>479</v>
      </c>
      <c r="B312" s="282" t="s">
        <v>720</v>
      </c>
      <c r="C312" s="282" t="s">
        <v>721</v>
      </c>
      <c r="D312" s="563" t="s">
        <v>704</v>
      </c>
      <c r="E312" s="563"/>
      <c r="F312" s="282"/>
      <c r="G312" s="239"/>
    </row>
    <row r="313" spans="1:7" s="238" customFormat="1" ht="18" customHeight="1">
      <c r="A313" s="232" t="s">
        <v>261</v>
      </c>
      <c r="B313" s="282" t="s">
        <v>0</v>
      </c>
      <c r="C313" s="282" t="s">
        <v>6</v>
      </c>
      <c r="D313" s="67" t="s">
        <v>550</v>
      </c>
      <c r="E313" s="267" t="s">
        <v>2</v>
      </c>
      <c r="F313" s="67" t="s">
        <v>551</v>
      </c>
      <c r="G313" s="268" t="s">
        <v>206</v>
      </c>
    </row>
    <row r="314" spans="1:7" ht="18" customHeight="1">
      <c r="A314" s="269">
        <v>1</v>
      </c>
      <c r="B314" s="246" t="s">
        <v>705</v>
      </c>
      <c r="C314" s="85" t="s">
        <v>706</v>
      </c>
      <c r="D314" s="56">
        <v>5</v>
      </c>
      <c r="E314" s="279" t="s">
        <v>517</v>
      </c>
      <c r="F314" s="283">
        <v>207</v>
      </c>
      <c r="G314" s="280">
        <f>F314*D314</f>
        <v>1035</v>
      </c>
    </row>
    <row r="315" spans="1:7" ht="18" customHeight="1">
      <c r="A315" s="269"/>
      <c r="B315" s="246"/>
      <c r="C315" s="81"/>
      <c r="D315" s="56"/>
      <c r="E315" s="270"/>
      <c r="F315" s="283"/>
      <c r="G315" s="280"/>
    </row>
    <row r="316" spans="1:7" ht="18" customHeight="1">
      <c r="A316" s="252" t="s">
        <v>479</v>
      </c>
      <c r="B316" s="282" t="s">
        <v>722</v>
      </c>
      <c r="C316" s="282" t="s">
        <v>723</v>
      </c>
      <c r="D316" s="563" t="s">
        <v>704</v>
      </c>
      <c r="E316" s="563"/>
      <c r="F316" s="282"/>
      <c r="G316" s="239"/>
    </row>
    <row r="317" spans="1:7" s="238" customFormat="1" ht="18" customHeight="1">
      <c r="A317" s="232" t="s">
        <v>261</v>
      </c>
      <c r="B317" s="282" t="s">
        <v>0</v>
      </c>
      <c r="C317" s="282" t="s">
        <v>6</v>
      </c>
      <c r="D317" s="67" t="s">
        <v>550</v>
      </c>
      <c r="E317" s="267" t="s">
        <v>2</v>
      </c>
      <c r="F317" s="67" t="s">
        <v>551</v>
      </c>
      <c r="G317" s="268" t="s">
        <v>206</v>
      </c>
    </row>
    <row r="318" spans="1:7" ht="18" customHeight="1">
      <c r="A318" s="269">
        <v>1</v>
      </c>
      <c r="B318" s="246" t="s">
        <v>724</v>
      </c>
      <c r="C318" s="81" t="s">
        <v>725</v>
      </c>
      <c r="D318" s="56">
        <v>1</v>
      </c>
      <c r="E318" s="270" t="s">
        <v>712</v>
      </c>
      <c r="F318" s="283">
        <v>184</v>
      </c>
      <c r="G318" s="280">
        <f>F318*D318</f>
        <v>184</v>
      </c>
    </row>
    <row r="319" spans="1:7" ht="18" customHeight="1">
      <c r="A319" s="269">
        <v>2</v>
      </c>
      <c r="B319" s="246" t="s">
        <v>726</v>
      </c>
      <c r="C319" s="81" t="s">
        <v>727</v>
      </c>
      <c r="D319" s="56">
        <v>2</v>
      </c>
      <c r="E319" s="270" t="s">
        <v>712</v>
      </c>
      <c r="F319" s="283">
        <v>219</v>
      </c>
      <c r="G319" s="280">
        <f>F319*D319</f>
        <v>438</v>
      </c>
    </row>
    <row r="320" spans="1:7" ht="18" customHeight="1">
      <c r="A320" s="269"/>
      <c r="B320" s="246"/>
      <c r="C320" s="81"/>
      <c r="D320" s="56"/>
      <c r="E320" s="270"/>
      <c r="F320" s="283"/>
      <c r="G320" s="280"/>
    </row>
    <row r="321" spans="1:9" ht="18" customHeight="1">
      <c r="A321" s="252" t="s">
        <v>479</v>
      </c>
      <c r="B321" s="282" t="s">
        <v>728</v>
      </c>
      <c r="C321" s="282" t="s">
        <v>729</v>
      </c>
      <c r="D321" s="563" t="s">
        <v>704</v>
      </c>
      <c r="E321" s="563"/>
      <c r="F321" s="282"/>
      <c r="G321" s="239"/>
    </row>
    <row r="322" spans="1:9" s="238" customFormat="1" ht="18" customHeight="1">
      <c r="A322" s="232" t="s">
        <v>261</v>
      </c>
      <c r="B322" s="282" t="s">
        <v>0</v>
      </c>
      <c r="C322" s="282" t="s">
        <v>6</v>
      </c>
      <c r="D322" s="67" t="s">
        <v>550</v>
      </c>
      <c r="E322" s="267" t="s">
        <v>2</v>
      </c>
      <c r="F322" s="67" t="s">
        <v>551</v>
      </c>
      <c r="G322" s="268" t="s">
        <v>206</v>
      </c>
    </row>
    <row r="323" spans="1:9" ht="18" customHeight="1">
      <c r="A323" s="269">
        <v>1</v>
      </c>
      <c r="B323" s="246" t="s">
        <v>724</v>
      </c>
      <c r="C323" s="85" t="s">
        <v>725</v>
      </c>
      <c r="D323" s="56">
        <v>2</v>
      </c>
      <c r="E323" s="270" t="s">
        <v>540</v>
      </c>
      <c r="F323" s="283">
        <v>184</v>
      </c>
      <c r="G323" s="280">
        <f>F323*D323</f>
        <v>368</v>
      </c>
    </row>
    <row r="324" spans="1:9" ht="18" customHeight="1">
      <c r="A324" s="269">
        <v>2</v>
      </c>
      <c r="B324" s="246" t="s">
        <v>724</v>
      </c>
      <c r="C324" s="85" t="s">
        <v>725</v>
      </c>
      <c r="D324" s="56">
        <v>2</v>
      </c>
      <c r="E324" s="270" t="s">
        <v>589</v>
      </c>
      <c r="F324" s="283">
        <v>184</v>
      </c>
      <c r="G324" s="280">
        <f>F324*D324</f>
        <v>368</v>
      </c>
    </row>
    <row r="325" spans="1:9" ht="18" customHeight="1">
      <c r="A325" s="269">
        <v>3</v>
      </c>
      <c r="B325" s="246" t="s">
        <v>726</v>
      </c>
      <c r="C325" s="85" t="s">
        <v>727</v>
      </c>
      <c r="D325" s="56">
        <v>40</v>
      </c>
      <c r="E325" s="270" t="s">
        <v>540</v>
      </c>
      <c r="F325" s="283">
        <v>219</v>
      </c>
      <c r="G325" s="280">
        <f>F325*D325</f>
        <v>8760</v>
      </c>
    </row>
    <row r="326" spans="1:9" ht="18" customHeight="1">
      <c r="A326" s="269">
        <v>4</v>
      </c>
      <c r="B326" s="246" t="s">
        <v>726</v>
      </c>
      <c r="C326" s="85" t="s">
        <v>727</v>
      </c>
      <c r="D326" s="56">
        <v>26</v>
      </c>
      <c r="E326" s="270" t="s">
        <v>589</v>
      </c>
      <c r="F326" s="283">
        <v>219</v>
      </c>
      <c r="G326" s="280">
        <f>F326*D326</f>
        <v>5694</v>
      </c>
    </row>
    <row r="327" spans="1:9" ht="18" customHeight="1" thickBot="1">
      <c r="F327" s="259" t="s">
        <v>352</v>
      </c>
      <c r="G327" s="285">
        <f>SUM(G295:G326)</f>
        <v>40284</v>
      </c>
    </row>
    <row r="328" spans="1:9" ht="18" customHeight="1" thickTop="1">
      <c r="A328" s="370" t="s">
        <v>1019</v>
      </c>
    </row>
    <row r="329" spans="1:9" ht="18" customHeight="1">
      <c r="A329" s="252" t="s">
        <v>479</v>
      </c>
      <c r="B329" s="282" t="s">
        <v>1020</v>
      </c>
      <c r="C329" s="282" t="s">
        <v>1021</v>
      </c>
      <c r="D329" s="563" t="s">
        <v>1022</v>
      </c>
      <c r="E329" s="563"/>
      <c r="F329" s="282"/>
      <c r="G329" s="239"/>
      <c r="I329" s="245" t="s">
        <v>1731</v>
      </c>
    </row>
    <row r="330" spans="1:9" s="238" customFormat="1" ht="18" customHeight="1">
      <c r="A330" s="232" t="s">
        <v>261</v>
      </c>
      <c r="B330" s="282" t="s">
        <v>0</v>
      </c>
      <c r="C330" s="282" t="s">
        <v>6</v>
      </c>
      <c r="D330" s="67" t="s">
        <v>550</v>
      </c>
      <c r="E330" s="267" t="s">
        <v>2</v>
      </c>
      <c r="F330" s="67" t="s">
        <v>551</v>
      </c>
      <c r="G330" s="268" t="s">
        <v>206</v>
      </c>
    </row>
    <row r="331" spans="1:9" ht="18" customHeight="1">
      <c r="A331" s="269">
        <v>1</v>
      </c>
      <c r="B331" s="246" t="s">
        <v>1023</v>
      </c>
      <c r="C331" s="85" t="s">
        <v>1024</v>
      </c>
      <c r="D331" s="56">
        <v>30</v>
      </c>
      <c r="E331" s="270" t="s">
        <v>866</v>
      </c>
      <c r="F331" s="286">
        <v>88</v>
      </c>
      <c r="G331" s="287">
        <f>F331*D331</f>
        <v>2640</v>
      </c>
    </row>
    <row r="332" spans="1:9" ht="18" customHeight="1">
      <c r="A332" s="252" t="s">
        <v>479</v>
      </c>
      <c r="B332" s="282" t="s">
        <v>1513</v>
      </c>
      <c r="C332" s="282" t="s">
        <v>1514</v>
      </c>
      <c r="D332" s="563" t="s">
        <v>1022</v>
      </c>
      <c r="E332" s="563"/>
      <c r="F332" s="282"/>
      <c r="G332" s="239"/>
    </row>
    <row r="333" spans="1:9" s="238" customFormat="1" ht="18" customHeight="1">
      <c r="A333" s="232" t="s">
        <v>261</v>
      </c>
      <c r="B333" s="282" t="s">
        <v>0</v>
      </c>
      <c r="C333" s="282" t="s">
        <v>6</v>
      </c>
      <c r="D333" s="67" t="s">
        <v>550</v>
      </c>
      <c r="E333" s="267" t="s">
        <v>2</v>
      </c>
      <c r="F333" s="67" t="s">
        <v>551</v>
      </c>
      <c r="G333" s="268" t="s">
        <v>206</v>
      </c>
    </row>
    <row r="334" spans="1:9" ht="18" customHeight="1">
      <c r="A334" s="269">
        <v>1</v>
      </c>
      <c r="B334" s="246" t="s">
        <v>1023</v>
      </c>
      <c r="C334" s="85" t="s">
        <v>1515</v>
      </c>
      <c r="D334" s="56">
        <v>10</v>
      </c>
      <c r="E334" s="270" t="s">
        <v>1516</v>
      </c>
      <c r="F334" s="286">
        <v>83</v>
      </c>
      <c r="G334" s="287">
        <f>F334*D334</f>
        <v>830</v>
      </c>
    </row>
    <row r="335" spans="1:9" ht="18" customHeight="1">
      <c r="A335" s="269">
        <v>2</v>
      </c>
      <c r="B335" s="246" t="s">
        <v>1023</v>
      </c>
      <c r="C335" s="85" t="s">
        <v>1515</v>
      </c>
      <c r="D335" s="56">
        <v>40</v>
      </c>
      <c r="E335" s="270" t="s">
        <v>1281</v>
      </c>
      <c r="F335" s="286">
        <v>83</v>
      </c>
      <c r="G335" s="287">
        <f>F335*D335</f>
        <v>3320</v>
      </c>
    </row>
    <row r="336" spans="1:9" ht="18" customHeight="1" thickBot="1">
      <c r="F336" s="260" t="s">
        <v>351</v>
      </c>
      <c r="G336" s="288">
        <f>SUM(G304:G335)</f>
        <v>72594</v>
      </c>
    </row>
    <row r="337" spans="1:7" ht="18" customHeight="1" thickTop="1">
      <c r="F337" s="376"/>
      <c r="G337" s="377"/>
    </row>
    <row r="338" spans="1:7" ht="18" customHeight="1">
      <c r="A338" s="252" t="s">
        <v>479</v>
      </c>
      <c r="B338" s="282" t="s">
        <v>1771</v>
      </c>
      <c r="C338" s="282" t="s">
        <v>1772</v>
      </c>
      <c r="D338" s="563" t="s">
        <v>1022</v>
      </c>
      <c r="E338" s="563"/>
      <c r="F338" s="282"/>
      <c r="G338" s="239"/>
    </row>
    <row r="339" spans="1:7" ht="18" customHeight="1">
      <c r="A339" s="232" t="s">
        <v>261</v>
      </c>
      <c r="B339" s="282" t="s">
        <v>0</v>
      </c>
      <c r="C339" s="282" t="s">
        <v>6</v>
      </c>
      <c r="D339" s="67" t="s">
        <v>550</v>
      </c>
      <c r="E339" s="267" t="s">
        <v>2</v>
      </c>
      <c r="F339" s="67" t="s">
        <v>551</v>
      </c>
      <c r="G339" s="268" t="s">
        <v>206</v>
      </c>
    </row>
    <row r="340" spans="1:7" ht="18" customHeight="1">
      <c r="A340" s="239">
        <v>1</v>
      </c>
      <c r="B340" s="246" t="s">
        <v>1773</v>
      </c>
      <c r="C340" s="85" t="s">
        <v>1774</v>
      </c>
      <c r="D340" s="56">
        <v>50</v>
      </c>
      <c r="E340" s="270" t="s">
        <v>1775</v>
      </c>
      <c r="F340" s="286">
        <v>83</v>
      </c>
      <c r="G340" s="287">
        <f>F340*D340</f>
        <v>4150</v>
      </c>
    </row>
    <row r="341" spans="1:7" ht="18" customHeight="1" thickBot="1">
      <c r="F341" s="260" t="s">
        <v>351</v>
      </c>
      <c r="G341" s="288">
        <f>G340</f>
        <v>4150</v>
      </c>
    </row>
    <row r="342" spans="1:7" ht="18" customHeight="1" thickTop="1">
      <c r="A342" s="252" t="s">
        <v>479</v>
      </c>
      <c r="B342" s="282" t="s">
        <v>1776</v>
      </c>
      <c r="C342" s="282" t="s">
        <v>1777</v>
      </c>
      <c r="D342" s="563" t="s">
        <v>1022</v>
      </c>
      <c r="E342" s="563"/>
      <c r="F342" s="282"/>
      <c r="G342" s="239"/>
    </row>
    <row r="343" spans="1:7" ht="18" customHeight="1">
      <c r="A343" s="232" t="s">
        <v>261</v>
      </c>
      <c r="B343" s="282" t="s">
        <v>0</v>
      </c>
      <c r="C343" s="282" t="s">
        <v>6</v>
      </c>
      <c r="D343" s="67" t="s">
        <v>550</v>
      </c>
      <c r="E343" s="267" t="s">
        <v>2</v>
      </c>
      <c r="F343" s="67" t="s">
        <v>551</v>
      </c>
      <c r="G343" s="268" t="s">
        <v>206</v>
      </c>
    </row>
    <row r="344" spans="1:7" ht="18" customHeight="1">
      <c r="A344" s="269">
        <v>1</v>
      </c>
      <c r="B344" s="246" t="s">
        <v>1778</v>
      </c>
      <c r="C344" s="85" t="s">
        <v>1774</v>
      </c>
      <c r="D344" s="379">
        <v>20</v>
      </c>
      <c r="E344" s="270" t="s">
        <v>1779</v>
      </c>
      <c r="F344" s="286">
        <v>85</v>
      </c>
      <c r="G344" s="287">
        <f>F344*D344</f>
        <v>1700</v>
      </c>
    </row>
    <row r="345" spans="1:7" ht="18" customHeight="1" thickBot="1">
      <c r="A345" s="371"/>
      <c r="B345" s="378"/>
      <c r="C345" s="378"/>
      <c r="D345" s="150"/>
      <c r="E345" s="373"/>
      <c r="F345" s="260" t="s">
        <v>351</v>
      </c>
      <c r="G345" s="288">
        <f>G344</f>
        <v>1700</v>
      </c>
    </row>
    <row r="346" spans="1:7" ht="18" customHeight="1" thickTop="1">
      <c r="A346" s="252" t="s">
        <v>479</v>
      </c>
      <c r="B346" s="282" t="s">
        <v>1780</v>
      </c>
      <c r="C346" s="282" t="s">
        <v>1781</v>
      </c>
      <c r="D346" s="563" t="s">
        <v>1022</v>
      </c>
      <c r="E346" s="563"/>
      <c r="F346" s="282"/>
      <c r="G346" s="239"/>
    </row>
    <row r="347" spans="1:7" ht="18" customHeight="1">
      <c r="A347" s="232" t="s">
        <v>261</v>
      </c>
      <c r="B347" s="282" t="s">
        <v>0</v>
      </c>
      <c r="C347" s="282" t="s">
        <v>6</v>
      </c>
      <c r="D347" s="67" t="s">
        <v>550</v>
      </c>
      <c r="E347" s="267" t="s">
        <v>2</v>
      </c>
      <c r="F347" s="67" t="s">
        <v>551</v>
      </c>
      <c r="G347" s="268" t="s">
        <v>206</v>
      </c>
    </row>
    <row r="348" spans="1:7" ht="18" customHeight="1">
      <c r="A348" s="269">
        <v>1</v>
      </c>
      <c r="B348" s="246" t="s">
        <v>1778</v>
      </c>
      <c r="C348" s="85" t="s">
        <v>1774</v>
      </c>
      <c r="D348" s="379">
        <v>40</v>
      </c>
      <c r="E348" s="270" t="s">
        <v>1779</v>
      </c>
      <c r="F348" s="286">
        <v>85</v>
      </c>
      <c r="G348" s="287">
        <f>F348*D348</f>
        <v>3400</v>
      </c>
    </row>
    <row r="349" spans="1:7" ht="18" customHeight="1" thickBot="1">
      <c r="A349" s="371"/>
      <c r="B349" s="378"/>
      <c r="C349" s="378"/>
      <c r="D349" s="150"/>
      <c r="E349" s="373"/>
      <c r="F349" s="260" t="s">
        <v>351</v>
      </c>
      <c r="G349" s="288">
        <f>G348</f>
        <v>3400</v>
      </c>
    </row>
    <row r="350" spans="1:7" ht="18" customHeight="1" thickTop="1">
      <c r="A350" s="371"/>
      <c r="B350" s="378"/>
      <c r="C350" s="378"/>
      <c r="D350" s="150"/>
      <c r="E350" s="373"/>
      <c r="F350" s="376"/>
      <c r="G350" s="377"/>
    </row>
    <row r="351" spans="1:7" ht="18" customHeight="1">
      <c r="A351" s="252" t="s">
        <v>479</v>
      </c>
      <c r="B351" s="282" t="s">
        <v>1930</v>
      </c>
      <c r="C351" s="282" t="s">
        <v>1931</v>
      </c>
      <c r="D351" s="563" t="s">
        <v>1022</v>
      </c>
      <c r="E351" s="563"/>
      <c r="F351" s="282"/>
      <c r="G351" s="239"/>
    </row>
    <row r="352" spans="1:7" ht="18" customHeight="1">
      <c r="A352" s="232" t="s">
        <v>261</v>
      </c>
      <c r="B352" s="282" t="s">
        <v>0</v>
      </c>
      <c r="C352" s="282" t="s">
        <v>6</v>
      </c>
      <c r="D352" s="67" t="s">
        <v>550</v>
      </c>
      <c r="E352" s="267" t="s">
        <v>2</v>
      </c>
      <c r="F352" s="67" t="s">
        <v>551</v>
      </c>
      <c r="G352" s="268" t="s">
        <v>206</v>
      </c>
    </row>
    <row r="353" spans="1:9" ht="18" customHeight="1">
      <c r="A353" s="269">
        <v>1</v>
      </c>
      <c r="B353" s="246" t="s">
        <v>1778</v>
      </c>
      <c r="C353" s="85" t="s">
        <v>1774</v>
      </c>
      <c r="D353" s="379">
        <v>20</v>
      </c>
      <c r="E353" s="270" t="s">
        <v>16</v>
      </c>
      <c r="F353" s="286">
        <v>88</v>
      </c>
      <c r="G353" s="287">
        <f>F353*D353</f>
        <v>1760</v>
      </c>
    </row>
    <row r="354" spans="1:9" ht="18" customHeight="1" thickBot="1">
      <c r="A354" s="371"/>
      <c r="B354" s="378"/>
      <c r="C354" s="378"/>
      <c r="D354" s="150"/>
      <c r="E354" s="373"/>
      <c r="F354" s="260" t="s">
        <v>351</v>
      </c>
      <c r="G354" s="288">
        <f>G353</f>
        <v>1760</v>
      </c>
    </row>
    <row r="355" spans="1:9" ht="18" customHeight="1" thickTop="1">
      <c r="A355" s="371"/>
      <c r="B355" s="378"/>
      <c r="C355" s="378"/>
      <c r="D355" s="150"/>
      <c r="E355" s="373"/>
      <c r="F355" s="376"/>
      <c r="G355" s="377"/>
    </row>
    <row r="357" spans="1:9" ht="18" customHeight="1">
      <c r="A357" s="370" t="s">
        <v>1517</v>
      </c>
    </row>
    <row r="358" spans="1:9" ht="18" customHeight="1">
      <c r="A358" s="252" t="s">
        <v>479</v>
      </c>
      <c r="B358" s="282" t="s">
        <v>1518</v>
      </c>
      <c r="C358" s="282" t="s">
        <v>1519</v>
      </c>
      <c r="D358" s="563"/>
      <c r="E358" s="563"/>
      <c r="F358" s="282"/>
      <c r="G358" s="239"/>
      <c r="I358" s="245" t="s">
        <v>1733</v>
      </c>
    </row>
    <row r="359" spans="1:9" s="238" customFormat="1" ht="18" customHeight="1">
      <c r="A359" s="232" t="s">
        <v>261</v>
      </c>
      <c r="B359" s="559" t="s">
        <v>6</v>
      </c>
      <c r="C359" s="560"/>
      <c r="D359" s="67" t="s">
        <v>550</v>
      </c>
      <c r="E359" s="267" t="s">
        <v>2</v>
      </c>
      <c r="F359" s="67" t="s">
        <v>551</v>
      </c>
      <c r="G359" s="268" t="s">
        <v>206</v>
      </c>
    </row>
    <row r="360" spans="1:9" ht="30" customHeight="1">
      <c r="A360" s="289">
        <v>1</v>
      </c>
      <c r="B360" s="564" t="s">
        <v>1520</v>
      </c>
      <c r="C360" s="565"/>
      <c r="D360" s="290">
        <v>3</v>
      </c>
      <c r="E360" s="291" t="s">
        <v>866</v>
      </c>
      <c r="F360" s="292">
        <v>360</v>
      </c>
      <c r="G360" s="293">
        <f>F360*D360</f>
        <v>1080</v>
      </c>
    </row>
    <row r="361" spans="1:9" ht="18" customHeight="1">
      <c r="A361" s="294"/>
      <c r="B361" s="295"/>
      <c r="C361" s="295"/>
      <c r="D361" s="296"/>
      <c r="E361" s="297"/>
      <c r="F361" s="298"/>
      <c r="G361" s="299"/>
    </row>
    <row r="362" spans="1:9" ht="18" customHeight="1">
      <c r="A362" s="300" t="s">
        <v>479</v>
      </c>
      <c r="B362" s="301" t="s">
        <v>1521</v>
      </c>
      <c r="C362" s="301" t="s">
        <v>1522</v>
      </c>
      <c r="D362" s="566"/>
      <c r="E362" s="566"/>
      <c r="F362" s="301"/>
      <c r="G362" s="302"/>
    </row>
    <row r="363" spans="1:9" s="238" customFormat="1" ht="18" customHeight="1">
      <c r="A363" s="232" t="s">
        <v>261</v>
      </c>
      <c r="B363" s="559" t="s">
        <v>6</v>
      </c>
      <c r="C363" s="560"/>
      <c r="D363" s="67" t="s">
        <v>550</v>
      </c>
      <c r="E363" s="267" t="s">
        <v>2</v>
      </c>
      <c r="F363" s="67" t="s">
        <v>551</v>
      </c>
      <c r="G363" s="268" t="s">
        <v>206</v>
      </c>
    </row>
    <row r="364" spans="1:9" ht="30" customHeight="1">
      <c r="A364" s="269">
        <v>1</v>
      </c>
      <c r="B364" s="561" t="s">
        <v>1520</v>
      </c>
      <c r="C364" s="562"/>
      <c r="D364" s="56">
        <v>5</v>
      </c>
      <c r="E364" s="270" t="s">
        <v>1523</v>
      </c>
      <c r="F364" s="271">
        <v>360</v>
      </c>
      <c r="G364" s="272">
        <f>F364*D364</f>
        <v>1800</v>
      </c>
    </row>
    <row r="366" spans="1:9" ht="18" customHeight="1">
      <c r="A366" s="252" t="s">
        <v>479</v>
      </c>
      <c r="B366" s="282" t="s">
        <v>1524</v>
      </c>
      <c r="C366" s="282" t="s">
        <v>1525</v>
      </c>
      <c r="D366" s="563"/>
      <c r="E366" s="563"/>
      <c r="F366" s="282"/>
      <c r="G366" s="239"/>
    </row>
    <row r="367" spans="1:9" s="238" customFormat="1" ht="18" customHeight="1">
      <c r="A367" s="232" t="s">
        <v>261</v>
      </c>
      <c r="B367" s="559" t="s">
        <v>6</v>
      </c>
      <c r="C367" s="560"/>
      <c r="D367" s="67" t="s">
        <v>550</v>
      </c>
      <c r="E367" s="267" t="s">
        <v>2</v>
      </c>
      <c r="F367" s="67" t="s">
        <v>551</v>
      </c>
      <c r="G367" s="268" t="s">
        <v>206</v>
      </c>
    </row>
    <row r="368" spans="1:9" ht="30" customHeight="1">
      <c r="A368" s="269">
        <v>1</v>
      </c>
      <c r="B368" s="561" t="s">
        <v>1520</v>
      </c>
      <c r="C368" s="562"/>
      <c r="D368" s="56">
        <v>12</v>
      </c>
      <c r="E368" s="270" t="s">
        <v>1281</v>
      </c>
      <c r="F368" s="271">
        <v>360</v>
      </c>
      <c r="G368" s="272">
        <f>F368*D368</f>
        <v>4320</v>
      </c>
    </row>
    <row r="370" spans="1:7" ht="18" customHeight="1">
      <c r="A370" s="252" t="s">
        <v>479</v>
      </c>
      <c r="B370" s="282" t="s">
        <v>1526</v>
      </c>
      <c r="C370" s="282" t="s">
        <v>1527</v>
      </c>
      <c r="D370" s="563"/>
      <c r="E370" s="563"/>
      <c r="F370" s="282"/>
      <c r="G370" s="239"/>
    </row>
    <row r="371" spans="1:7" s="238" customFormat="1" ht="18" customHeight="1">
      <c r="A371" s="232" t="s">
        <v>261</v>
      </c>
      <c r="B371" s="303" t="s">
        <v>6</v>
      </c>
      <c r="C371" s="304"/>
      <c r="D371" s="67" t="s">
        <v>550</v>
      </c>
      <c r="E371" s="267" t="s">
        <v>2</v>
      </c>
      <c r="F371" s="67" t="s">
        <v>551</v>
      </c>
      <c r="G371" s="268" t="s">
        <v>206</v>
      </c>
    </row>
    <row r="372" spans="1:7" ht="30" customHeight="1">
      <c r="A372" s="269">
        <v>1</v>
      </c>
      <c r="B372" s="561" t="s">
        <v>1520</v>
      </c>
      <c r="C372" s="562"/>
      <c r="D372" s="56">
        <v>20</v>
      </c>
      <c r="E372" s="270" t="s">
        <v>1281</v>
      </c>
      <c r="F372" s="271">
        <v>360</v>
      </c>
      <c r="G372" s="272">
        <f>F372*D372</f>
        <v>7200</v>
      </c>
    </row>
    <row r="373" spans="1:7" ht="30" customHeight="1">
      <c r="A373" s="375"/>
      <c r="B373" s="110"/>
      <c r="C373" s="110"/>
      <c r="D373" s="59"/>
      <c r="F373" s="380"/>
      <c r="G373" s="381"/>
    </row>
    <row r="374" spans="1:7" ht="30" customHeight="1">
      <c r="A374" s="252" t="s">
        <v>479</v>
      </c>
      <c r="B374" s="282" t="s">
        <v>1783</v>
      </c>
      <c r="C374" s="282" t="s">
        <v>1784</v>
      </c>
      <c r="D374" s="563"/>
      <c r="E374" s="563"/>
      <c r="F374" s="282"/>
      <c r="G374" s="239"/>
    </row>
    <row r="375" spans="1:7" ht="30" customHeight="1">
      <c r="A375" s="232" t="s">
        <v>261</v>
      </c>
      <c r="B375" s="303" t="s">
        <v>6</v>
      </c>
      <c r="C375" s="304"/>
      <c r="D375" s="67" t="s">
        <v>550</v>
      </c>
      <c r="E375" s="267" t="s">
        <v>2</v>
      </c>
      <c r="F375" s="67" t="s">
        <v>551</v>
      </c>
      <c r="G375" s="268" t="s">
        <v>206</v>
      </c>
    </row>
    <row r="376" spans="1:7" ht="30" customHeight="1">
      <c r="A376" s="269">
        <v>1</v>
      </c>
      <c r="B376" s="561" t="s">
        <v>1782</v>
      </c>
      <c r="C376" s="562"/>
      <c r="D376" s="56">
        <v>20</v>
      </c>
      <c r="E376" s="270" t="s">
        <v>1762</v>
      </c>
      <c r="F376" s="271">
        <v>370</v>
      </c>
      <c r="G376" s="272">
        <f>F376*D376</f>
        <v>7400</v>
      </c>
    </row>
    <row r="377" spans="1:7" ht="30" customHeight="1">
      <c r="A377" s="375"/>
      <c r="B377" s="110"/>
      <c r="C377" s="110"/>
      <c r="D377" s="59"/>
      <c r="F377" s="380"/>
      <c r="G377" s="381"/>
    </row>
    <row r="378" spans="1:7" ht="30" customHeight="1">
      <c r="A378" s="252" t="s">
        <v>479</v>
      </c>
      <c r="B378" s="282" t="s">
        <v>1787</v>
      </c>
      <c r="C378" s="282" t="s">
        <v>1788</v>
      </c>
      <c r="D378" s="563"/>
      <c r="E378" s="563"/>
      <c r="F378" s="282"/>
      <c r="G378" s="239"/>
    </row>
    <row r="379" spans="1:7" ht="30" customHeight="1">
      <c r="A379" s="232" t="s">
        <v>261</v>
      </c>
      <c r="B379" s="303" t="s">
        <v>6</v>
      </c>
      <c r="C379" s="304"/>
      <c r="D379" s="67" t="s">
        <v>550</v>
      </c>
      <c r="E379" s="267" t="s">
        <v>2</v>
      </c>
      <c r="F379" s="67" t="s">
        <v>551</v>
      </c>
      <c r="G379" s="268" t="s">
        <v>206</v>
      </c>
    </row>
    <row r="380" spans="1:7" ht="30" customHeight="1">
      <c r="A380" s="269">
        <v>1</v>
      </c>
      <c r="B380" s="567" t="s">
        <v>1782</v>
      </c>
      <c r="C380" s="567"/>
      <c r="D380" s="56">
        <v>30</v>
      </c>
      <c r="E380" s="270" t="s">
        <v>1762</v>
      </c>
      <c r="F380" s="271">
        <v>380</v>
      </c>
      <c r="G380" s="272">
        <f>F380*D380</f>
        <v>11400</v>
      </c>
    </row>
    <row r="381" spans="1:7" ht="30" customHeight="1">
      <c r="A381" s="375"/>
      <c r="B381" s="110"/>
      <c r="C381" s="110"/>
      <c r="D381" s="59"/>
      <c r="F381" s="380"/>
      <c r="G381" s="381"/>
    </row>
    <row r="382" spans="1:7" ht="30" customHeight="1">
      <c r="A382" s="252" t="s">
        <v>479</v>
      </c>
      <c r="B382" s="282" t="s">
        <v>1791</v>
      </c>
      <c r="C382" s="282" t="s">
        <v>1792</v>
      </c>
      <c r="D382" s="563"/>
      <c r="E382" s="563"/>
      <c r="F382" s="282"/>
      <c r="G382" s="239"/>
    </row>
    <row r="383" spans="1:7" ht="30" customHeight="1">
      <c r="A383" s="232" t="s">
        <v>261</v>
      </c>
      <c r="B383" s="303" t="s">
        <v>6</v>
      </c>
      <c r="C383" s="304"/>
      <c r="D383" s="67" t="s">
        <v>550</v>
      </c>
      <c r="E383" s="267" t="s">
        <v>2</v>
      </c>
      <c r="F383" s="67" t="s">
        <v>551</v>
      </c>
      <c r="G383" s="268" t="s">
        <v>206</v>
      </c>
    </row>
    <row r="384" spans="1:7" ht="30" customHeight="1">
      <c r="A384" s="269">
        <v>1</v>
      </c>
      <c r="B384" s="567" t="s">
        <v>1793</v>
      </c>
      <c r="C384" s="567"/>
      <c r="D384" s="56">
        <v>20</v>
      </c>
      <c r="E384" s="270" t="s">
        <v>1762</v>
      </c>
      <c r="F384" s="271">
        <v>390</v>
      </c>
      <c r="G384" s="272">
        <f>F384*D384</f>
        <v>7800</v>
      </c>
    </row>
    <row r="385" spans="1:7" ht="30" customHeight="1">
      <c r="A385" s="375"/>
      <c r="B385" s="110"/>
      <c r="C385" s="110"/>
      <c r="D385" s="59"/>
      <c r="F385" s="380"/>
      <c r="G385" s="381"/>
    </row>
    <row r="386" spans="1:7" ht="30" customHeight="1">
      <c r="A386" s="252" t="s">
        <v>479</v>
      </c>
      <c r="B386" s="282" t="s">
        <v>1797</v>
      </c>
      <c r="C386" s="282" t="s">
        <v>1794</v>
      </c>
      <c r="D386" s="563"/>
      <c r="E386" s="563"/>
      <c r="F386" s="282"/>
      <c r="G386" s="239"/>
    </row>
    <row r="387" spans="1:7" ht="30" customHeight="1">
      <c r="A387" s="232" t="s">
        <v>261</v>
      </c>
      <c r="B387" s="303" t="s">
        <v>6</v>
      </c>
      <c r="C387" s="304"/>
      <c r="D387" s="67" t="s">
        <v>550</v>
      </c>
      <c r="E387" s="267" t="s">
        <v>2</v>
      </c>
      <c r="F387" s="67" t="s">
        <v>551</v>
      </c>
      <c r="G387" s="268" t="s">
        <v>206</v>
      </c>
    </row>
    <row r="388" spans="1:7" ht="30" customHeight="1">
      <c r="A388" s="269">
        <v>1</v>
      </c>
      <c r="B388" s="567" t="s">
        <v>1795</v>
      </c>
      <c r="C388" s="567"/>
      <c r="D388" s="56">
        <v>1</v>
      </c>
      <c r="E388" s="270" t="s">
        <v>1796</v>
      </c>
      <c r="F388" s="271">
        <v>598</v>
      </c>
      <c r="G388" s="272">
        <f>F388*D388</f>
        <v>598</v>
      </c>
    </row>
    <row r="389" spans="1:7" ht="30" customHeight="1">
      <c r="A389" s="375"/>
      <c r="B389" s="110"/>
      <c r="C389" s="110"/>
      <c r="D389" s="59"/>
      <c r="F389" s="380"/>
      <c r="G389" s="381"/>
    </row>
    <row r="390" spans="1:7" ht="30" customHeight="1">
      <c r="A390" s="252" t="s">
        <v>479</v>
      </c>
      <c r="B390" s="282" t="s">
        <v>1798</v>
      </c>
      <c r="C390" s="282" t="s">
        <v>1794</v>
      </c>
      <c r="D390" s="563"/>
      <c r="E390" s="563"/>
      <c r="F390" s="282"/>
      <c r="G390" s="239"/>
    </row>
    <row r="391" spans="1:7" ht="30" customHeight="1">
      <c r="A391" s="232" t="s">
        <v>261</v>
      </c>
      <c r="B391" s="303" t="s">
        <v>6</v>
      </c>
      <c r="C391" s="304"/>
      <c r="D391" s="67" t="s">
        <v>550</v>
      </c>
      <c r="E391" s="267" t="s">
        <v>2</v>
      </c>
      <c r="F391" s="67" t="s">
        <v>551</v>
      </c>
      <c r="G391" s="268" t="s">
        <v>206</v>
      </c>
    </row>
    <row r="392" spans="1:7" ht="30" customHeight="1">
      <c r="A392" s="269">
        <v>1</v>
      </c>
      <c r="B392" s="567" t="s">
        <v>1793</v>
      </c>
      <c r="C392" s="567"/>
      <c r="D392" s="56">
        <v>1</v>
      </c>
      <c r="E392" s="270" t="s">
        <v>16</v>
      </c>
      <c r="F392" s="271">
        <v>598</v>
      </c>
      <c r="G392" s="272">
        <f>F392*D392</f>
        <v>598</v>
      </c>
    </row>
    <row r="393" spans="1:7" ht="30" customHeight="1">
      <c r="A393" s="375"/>
      <c r="B393" s="110"/>
      <c r="C393" s="110"/>
      <c r="D393" s="59"/>
      <c r="F393" s="380"/>
      <c r="G393" s="381"/>
    </row>
    <row r="394" spans="1:7" ht="30" customHeight="1">
      <c r="A394" s="252" t="s">
        <v>479</v>
      </c>
      <c r="B394" s="282" t="s">
        <v>1921</v>
      </c>
      <c r="C394" s="282" t="s">
        <v>1922</v>
      </c>
      <c r="D394" s="563"/>
      <c r="E394" s="563"/>
      <c r="F394" s="282"/>
      <c r="G394" s="239"/>
    </row>
    <row r="395" spans="1:7" ht="30" customHeight="1">
      <c r="A395" s="232" t="s">
        <v>261</v>
      </c>
      <c r="B395" s="303" t="s">
        <v>6</v>
      </c>
      <c r="C395" s="304"/>
      <c r="D395" s="67" t="s">
        <v>550</v>
      </c>
      <c r="E395" s="267" t="s">
        <v>2</v>
      </c>
      <c r="F395" s="67" t="s">
        <v>551</v>
      </c>
      <c r="G395" s="268" t="s">
        <v>206</v>
      </c>
    </row>
    <row r="396" spans="1:7" ht="30" customHeight="1">
      <c r="A396" s="269">
        <v>1</v>
      </c>
      <c r="B396" s="567" t="s">
        <v>1923</v>
      </c>
      <c r="C396" s="567"/>
      <c r="D396" s="56">
        <v>2</v>
      </c>
      <c r="E396" s="270" t="s">
        <v>1925</v>
      </c>
      <c r="F396" s="271">
        <v>598</v>
      </c>
      <c r="G396" s="272">
        <f>F396*D396</f>
        <v>1196</v>
      </c>
    </row>
    <row r="397" spans="1:7" ht="30" customHeight="1">
      <c r="A397" s="269">
        <v>2</v>
      </c>
      <c r="B397" s="567" t="s">
        <v>1924</v>
      </c>
      <c r="C397" s="567"/>
      <c r="D397" s="56">
        <v>15</v>
      </c>
      <c r="E397" s="270" t="s">
        <v>16</v>
      </c>
      <c r="F397" s="271">
        <v>380</v>
      </c>
      <c r="G397" s="272">
        <f>F397*D397</f>
        <v>5700</v>
      </c>
    </row>
    <row r="398" spans="1:7" ht="18" customHeight="1" thickBot="1">
      <c r="F398" s="273" t="s">
        <v>351</v>
      </c>
      <c r="G398" s="274">
        <f>SUM(G360:G397)</f>
        <v>49092</v>
      </c>
    </row>
    <row r="399" spans="1:7" ht="18" customHeight="1" thickTop="1"/>
    <row r="402" spans="1:7" s="117" customFormat="1" ht="19.899999999999999" customHeight="1">
      <c r="A402" s="232" t="s">
        <v>261</v>
      </c>
      <c r="B402" s="282" t="s">
        <v>1</v>
      </c>
      <c r="C402" s="69" t="s">
        <v>6</v>
      </c>
      <c r="D402" s="69" t="s">
        <v>206</v>
      </c>
      <c r="E402" s="236" t="s">
        <v>2</v>
      </c>
      <c r="G402" s="305"/>
    </row>
    <row r="403" spans="1:7" s="120" customFormat="1" ht="70.150000000000006" customHeight="1">
      <c r="A403" s="118">
        <v>1</v>
      </c>
      <c r="B403" s="118"/>
      <c r="C403" s="119" t="s">
        <v>730</v>
      </c>
      <c r="D403" s="306">
        <v>15000</v>
      </c>
      <c r="E403" s="243" t="s">
        <v>16</v>
      </c>
      <c r="G403" s="305"/>
    </row>
    <row r="404" spans="1:7" s="120" customFormat="1" ht="49.9" customHeight="1">
      <c r="A404" s="118">
        <v>2</v>
      </c>
      <c r="B404" s="118"/>
      <c r="C404" s="119" t="s">
        <v>731</v>
      </c>
      <c r="D404" s="118" t="s">
        <v>732</v>
      </c>
      <c r="E404" s="243" t="s">
        <v>16</v>
      </c>
      <c r="G404" s="305"/>
    </row>
    <row r="405" spans="1:7" s="120" customFormat="1" ht="100.15" customHeight="1">
      <c r="A405" s="118">
        <v>3</v>
      </c>
      <c r="B405" s="118"/>
      <c r="C405" s="119" t="s">
        <v>733</v>
      </c>
      <c r="D405" s="121">
        <v>43245</v>
      </c>
      <c r="E405" s="243" t="s">
        <v>16</v>
      </c>
      <c r="G405" s="305"/>
    </row>
  </sheetData>
  <mergeCells count="51">
    <mergeCell ref="B397:C397"/>
    <mergeCell ref="D351:E351"/>
    <mergeCell ref="D316:E316"/>
    <mergeCell ref="D321:E321"/>
    <mergeCell ref="D329:E329"/>
    <mergeCell ref="B364:C364"/>
    <mergeCell ref="D366:E366"/>
    <mergeCell ref="D358:E358"/>
    <mergeCell ref="D332:E332"/>
    <mergeCell ref="D338:E338"/>
    <mergeCell ref="D378:E378"/>
    <mergeCell ref="B380:C380"/>
    <mergeCell ref="B392:C392"/>
    <mergeCell ref="D382:E382"/>
    <mergeCell ref="B367:C367"/>
    <mergeCell ref="B368:C368"/>
    <mergeCell ref="B396:C396"/>
    <mergeCell ref="B363:C363"/>
    <mergeCell ref="D307:E307"/>
    <mergeCell ref="D312:E312"/>
    <mergeCell ref="B384:C384"/>
    <mergeCell ref="D386:E386"/>
    <mergeCell ref="B388:C388"/>
    <mergeCell ref="D390:E390"/>
    <mergeCell ref="D342:E342"/>
    <mergeCell ref="D346:E346"/>
    <mergeCell ref="D374:E374"/>
    <mergeCell ref="B376:C376"/>
    <mergeCell ref="D370:E370"/>
    <mergeCell ref="B372:C372"/>
    <mergeCell ref="B180:C180"/>
    <mergeCell ref="D394:E394"/>
    <mergeCell ref="B359:C359"/>
    <mergeCell ref="B360:C360"/>
    <mergeCell ref="D362:E362"/>
    <mergeCell ref="B168:C168"/>
    <mergeCell ref="B169:C169"/>
    <mergeCell ref="D293:E293"/>
    <mergeCell ref="D298:E298"/>
    <mergeCell ref="D303:E303"/>
    <mergeCell ref="B176:C176"/>
    <mergeCell ref="B177:C177"/>
    <mergeCell ref="B172:C172"/>
    <mergeCell ref="B173:C173"/>
    <mergeCell ref="B184:C184"/>
    <mergeCell ref="B185:C185"/>
    <mergeCell ref="B188:C188"/>
    <mergeCell ref="B189:C189"/>
    <mergeCell ref="B181:C181"/>
    <mergeCell ref="B192:C192"/>
    <mergeCell ref="B193:C193"/>
  </mergeCells>
  <printOptions horizontalCentered="1"/>
  <pageMargins left="0.25" right="0.25" top="0.25" bottom="0.25" header="0.3" footer="0.3"/>
  <pageSetup orientation="portrait" horizontalDpi="1200" verticalDpi="12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83"/>
  <sheetViews>
    <sheetView topLeftCell="A168" zoomScale="85" zoomScaleNormal="85" workbookViewId="0">
      <selection activeCell="F142" sqref="F141:F142"/>
    </sheetView>
  </sheetViews>
  <sheetFormatPr defaultRowHeight="30" customHeight="1"/>
  <cols>
    <col min="1" max="1" width="5.7109375" style="114" customWidth="1"/>
    <col min="2" max="2" width="13.7109375" style="73" bestFit="1" customWidth="1"/>
    <col min="3" max="3" width="22.140625" style="73" bestFit="1" customWidth="1"/>
    <col min="4" max="4" width="12.140625" style="73" bestFit="1" customWidth="1"/>
    <col min="5" max="5" width="28.7109375" style="147" bestFit="1" customWidth="1"/>
    <col min="6" max="6" width="16.7109375" style="114" bestFit="1" customWidth="1"/>
    <col min="7" max="7" width="10.7109375" style="114" customWidth="1"/>
    <col min="8" max="8" width="20.7109375" style="114" bestFit="1" customWidth="1"/>
    <col min="9" max="9" width="20.7109375" customWidth="1"/>
    <col min="10" max="10" width="3" bestFit="1" customWidth="1"/>
    <col min="11" max="11" width="13.5703125" bestFit="1" customWidth="1"/>
    <col min="12" max="12" width="3" bestFit="1" customWidth="1"/>
    <col min="13" max="13" width="14" bestFit="1" customWidth="1"/>
    <col min="14" max="14" width="22.42578125" bestFit="1" customWidth="1"/>
    <col min="15" max="15" width="9" bestFit="1" customWidth="1"/>
    <col min="16" max="16" width="10.7109375" bestFit="1" customWidth="1"/>
    <col min="17" max="17" width="16.7109375" bestFit="1" customWidth="1"/>
    <col min="18" max="18" width="7.5703125" bestFit="1" customWidth="1"/>
  </cols>
  <sheetData>
    <row r="1" spans="1:8" ht="30" customHeight="1">
      <c r="A1" s="76" t="s">
        <v>745</v>
      </c>
      <c r="B1" s="86"/>
      <c r="C1" s="83"/>
      <c r="D1" s="76"/>
      <c r="E1" s="144">
        <v>44965</v>
      </c>
      <c r="F1" s="139"/>
      <c r="G1" s="139"/>
      <c r="H1" s="139"/>
    </row>
    <row r="2" spans="1:8" ht="30" customHeight="1">
      <c r="A2" s="78" t="s">
        <v>261</v>
      </c>
      <c r="B2" s="142" t="s">
        <v>1</v>
      </c>
      <c r="C2" s="142" t="s">
        <v>0</v>
      </c>
      <c r="D2" s="142" t="s">
        <v>206</v>
      </c>
      <c r="E2" s="145" t="s">
        <v>2</v>
      </c>
      <c r="F2" s="142" t="s">
        <v>483</v>
      </c>
      <c r="G2" s="142" t="s">
        <v>750</v>
      </c>
      <c r="H2" s="142" t="s">
        <v>5</v>
      </c>
    </row>
    <row r="3" spans="1:8" ht="30" customHeight="1">
      <c r="A3" s="92">
        <v>1</v>
      </c>
      <c r="B3" s="75" t="s">
        <v>753</v>
      </c>
      <c r="C3" s="75" t="s">
        <v>754</v>
      </c>
      <c r="D3" s="143">
        <v>260</v>
      </c>
      <c r="E3" s="146" t="s">
        <v>834</v>
      </c>
      <c r="F3" s="140" t="s">
        <v>755</v>
      </c>
      <c r="G3" s="92" t="s">
        <v>756</v>
      </c>
      <c r="H3" s="92" t="s">
        <v>748</v>
      </c>
    </row>
    <row r="4" spans="1:8" ht="30" customHeight="1">
      <c r="A4" s="92">
        <v>2</v>
      </c>
      <c r="B4" s="88" t="s">
        <v>380</v>
      </c>
      <c r="C4" s="88" t="s">
        <v>357</v>
      </c>
      <c r="D4" s="143">
        <v>379</v>
      </c>
      <c r="E4" s="146" t="s">
        <v>16</v>
      </c>
      <c r="F4" s="141"/>
      <c r="G4" s="141" t="s">
        <v>824</v>
      </c>
      <c r="H4" s="141" t="s">
        <v>748</v>
      </c>
    </row>
    <row r="5" spans="1:8" ht="30" customHeight="1">
      <c r="A5" s="92">
        <v>3</v>
      </c>
      <c r="B5" s="88" t="s">
        <v>429</v>
      </c>
      <c r="C5" s="88" t="s">
        <v>363</v>
      </c>
      <c r="D5" s="143">
        <v>305</v>
      </c>
      <c r="E5" s="146" t="s">
        <v>1240</v>
      </c>
      <c r="F5" s="141" t="s">
        <v>811</v>
      </c>
      <c r="G5" s="141" t="s">
        <v>788</v>
      </c>
      <c r="H5" s="141" t="s">
        <v>748</v>
      </c>
    </row>
    <row r="6" spans="1:8" ht="30" customHeight="1">
      <c r="A6" s="92">
        <v>4</v>
      </c>
      <c r="B6" s="88"/>
      <c r="C6" s="88"/>
      <c r="D6" s="143"/>
      <c r="E6" s="146"/>
      <c r="F6" s="141"/>
      <c r="G6" s="92" t="s">
        <v>1085</v>
      </c>
      <c r="H6" s="141"/>
    </row>
    <row r="7" spans="1:8" ht="30" customHeight="1">
      <c r="A7" s="92">
        <v>5</v>
      </c>
      <c r="B7" s="88" t="s">
        <v>426</v>
      </c>
      <c r="C7" s="88" t="s">
        <v>363</v>
      </c>
      <c r="D7" s="143">
        <v>305</v>
      </c>
      <c r="E7" s="146" t="s">
        <v>832</v>
      </c>
      <c r="F7" s="141" t="s">
        <v>749</v>
      </c>
      <c r="G7" s="141" t="s">
        <v>747</v>
      </c>
      <c r="H7" s="141" t="s">
        <v>748</v>
      </c>
    </row>
    <row r="8" spans="1:8" ht="30" customHeight="1">
      <c r="A8" s="92">
        <v>6</v>
      </c>
      <c r="B8" s="88" t="s">
        <v>382</v>
      </c>
      <c r="C8" s="88" t="s">
        <v>357</v>
      </c>
      <c r="D8" s="143">
        <v>379</v>
      </c>
      <c r="E8" s="191" t="s">
        <v>16</v>
      </c>
      <c r="F8" s="141"/>
      <c r="G8" s="141" t="s">
        <v>889</v>
      </c>
      <c r="H8" s="183" t="s">
        <v>1739</v>
      </c>
    </row>
    <row r="9" spans="1:8" ht="30" customHeight="1">
      <c r="A9" s="92">
        <v>7</v>
      </c>
      <c r="B9" s="88"/>
      <c r="C9" s="88"/>
      <c r="D9" s="143"/>
      <c r="E9" s="146"/>
      <c r="F9" s="141"/>
      <c r="G9" s="92" t="s">
        <v>795</v>
      </c>
      <c r="H9" s="141"/>
    </row>
    <row r="10" spans="1:8" ht="30" customHeight="1">
      <c r="A10" s="92">
        <v>8</v>
      </c>
      <c r="B10" s="88"/>
      <c r="C10" s="88"/>
      <c r="D10" s="143"/>
      <c r="E10" s="146"/>
      <c r="F10" s="141"/>
      <c r="G10" s="141" t="s">
        <v>1083</v>
      </c>
      <c r="H10" s="141"/>
    </row>
    <row r="11" spans="1:8" ht="30" customHeight="1">
      <c r="A11" s="92">
        <v>9</v>
      </c>
      <c r="B11" s="88" t="s">
        <v>375</v>
      </c>
      <c r="C11" s="88" t="s">
        <v>357</v>
      </c>
      <c r="D11" s="143">
        <v>379</v>
      </c>
      <c r="E11" s="146" t="s">
        <v>652</v>
      </c>
      <c r="F11" s="141"/>
      <c r="G11" s="141" t="s">
        <v>1084</v>
      </c>
      <c r="H11" s="141" t="s">
        <v>748</v>
      </c>
    </row>
    <row r="12" spans="1:8" ht="30" customHeight="1">
      <c r="A12" s="92">
        <v>10</v>
      </c>
      <c r="B12" s="88"/>
      <c r="C12" s="88"/>
      <c r="D12" s="143"/>
      <c r="E12" s="146"/>
      <c r="F12" s="141"/>
      <c r="G12" s="92" t="s">
        <v>1086</v>
      </c>
      <c r="H12" s="141"/>
    </row>
    <row r="13" spans="1:8" ht="30" customHeight="1">
      <c r="A13" s="92">
        <v>11</v>
      </c>
      <c r="B13" s="88" t="s">
        <v>377</v>
      </c>
      <c r="C13" s="88" t="s">
        <v>357</v>
      </c>
      <c r="D13" s="143">
        <v>379</v>
      </c>
      <c r="E13" s="146" t="s">
        <v>16</v>
      </c>
      <c r="F13" s="141"/>
      <c r="G13" s="141" t="s">
        <v>1087</v>
      </c>
      <c r="H13" s="141" t="s">
        <v>748</v>
      </c>
    </row>
    <row r="14" spans="1:8" ht="30" customHeight="1">
      <c r="A14" s="92">
        <v>12</v>
      </c>
      <c r="B14" s="88" t="s">
        <v>464</v>
      </c>
      <c r="C14" s="88" t="s">
        <v>363</v>
      </c>
      <c r="D14" s="143">
        <v>311.5</v>
      </c>
      <c r="E14" s="146" t="s">
        <v>1353</v>
      </c>
      <c r="F14" s="141" t="s">
        <v>484</v>
      </c>
      <c r="G14" s="141" t="s">
        <v>778</v>
      </c>
      <c r="H14" s="141" t="s">
        <v>748</v>
      </c>
    </row>
    <row r="15" spans="1:8" ht="30" customHeight="1">
      <c r="A15" s="92">
        <v>13</v>
      </c>
      <c r="B15" s="88" t="s">
        <v>465</v>
      </c>
      <c r="C15" s="88" t="s">
        <v>363</v>
      </c>
      <c r="D15" s="143">
        <v>311.5</v>
      </c>
      <c r="E15" s="191" t="s">
        <v>16</v>
      </c>
      <c r="F15" s="141" t="s">
        <v>485</v>
      </c>
      <c r="G15" s="141" t="s">
        <v>779</v>
      </c>
      <c r="H15" s="141" t="s">
        <v>748</v>
      </c>
    </row>
    <row r="16" spans="1:8" ht="30" customHeight="1">
      <c r="A16" s="92">
        <v>14</v>
      </c>
      <c r="B16" s="88"/>
      <c r="C16" s="88"/>
      <c r="D16" s="143"/>
      <c r="E16" s="146"/>
      <c r="F16" s="141"/>
      <c r="G16" s="141" t="s">
        <v>1088</v>
      </c>
      <c r="H16" s="141"/>
    </row>
    <row r="17" spans="1:8" ht="30" customHeight="1">
      <c r="A17" s="92">
        <v>15</v>
      </c>
      <c r="B17" s="88" t="s">
        <v>381</v>
      </c>
      <c r="C17" s="88" t="s">
        <v>357</v>
      </c>
      <c r="D17" s="143">
        <v>385</v>
      </c>
      <c r="E17" s="146" t="s">
        <v>16</v>
      </c>
      <c r="F17" s="141"/>
      <c r="G17" s="141" t="s">
        <v>1089</v>
      </c>
      <c r="H17" s="141" t="s">
        <v>748</v>
      </c>
    </row>
    <row r="18" spans="1:8" ht="30" customHeight="1">
      <c r="A18" s="92">
        <v>16</v>
      </c>
      <c r="B18" s="88" t="s">
        <v>387</v>
      </c>
      <c r="C18" s="88" t="s">
        <v>357</v>
      </c>
      <c r="D18" s="143">
        <v>385</v>
      </c>
      <c r="E18" s="191" t="s">
        <v>16</v>
      </c>
      <c r="F18" s="141" t="s">
        <v>10</v>
      </c>
      <c r="G18" s="141" t="s">
        <v>890</v>
      </c>
      <c r="H18" s="141" t="s">
        <v>748</v>
      </c>
    </row>
    <row r="19" spans="1:8" ht="30" customHeight="1">
      <c r="A19" s="92">
        <v>17</v>
      </c>
      <c r="B19" s="88" t="s">
        <v>386</v>
      </c>
      <c r="C19" s="88" t="s">
        <v>357</v>
      </c>
      <c r="D19" s="143">
        <v>385</v>
      </c>
      <c r="E19" s="146" t="s">
        <v>16</v>
      </c>
      <c r="F19" s="141"/>
      <c r="G19" s="141" t="s">
        <v>1090</v>
      </c>
      <c r="H19" s="141" t="s">
        <v>748</v>
      </c>
    </row>
    <row r="20" spans="1:8" ht="30" customHeight="1">
      <c r="A20" s="92">
        <v>18</v>
      </c>
      <c r="B20" s="75" t="s">
        <v>806</v>
      </c>
      <c r="C20" s="75" t="s">
        <v>754</v>
      </c>
      <c r="D20" s="143">
        <v>260</v>
      </c>
      <c r="E20" s="191" t="s">
        <v>831</v>
      </c>
      <c r="F20" s="141" t="s">
        <v>807</v>
      </c>
      <c r="G20" s="141" t="s">
        <v>808</v>
      </c>
      <c r="H20" s="206" t="s">
        <v>1826</v>
      </c>
    </row>
    <row r="21" spans="1:8" ht="30" customHeight="1">
      <c r="A21" s="92">
        <v>19</v>
      </c>
      <c r="B21" s="75"/>
      <c r="C21" s="75"/>
      <c r="D21" s="143"/>
      <c r="E21" s="146"/>
      <c r="F21" s="141"/>
      <c r="G21" s="141" t="s">
        <v>1091</v>
      </c>
      <c r="H21" s="92"/>
    </row>
    <row r="22" spans="1:8" ht="30" customHeight="1">
      <c r="A22" s="92">
        <v>20</v>
      </c>
      <c r="B22" s="75"/>
      <c r="C22" s="75"/>
      <c r="D22" s="143"/>
      <c r="E22" s="146"/>
      <c r="F22" s="141"/>
      <c r="G22" s="141" t="s">
        <v>1092</v>
      </c>
      <c r="H22" s="92"/>
    </row>
    <row r="23" spans="1:8" ht="30" customHeight="1">
      <c r="A23" s="92">
        <v>21</v>
      </c>
      <c r="B23" s="88" t="s">
        <v>361</v>
      </c>
      <c r="C23" s="88" t="s">
        <v>357</v>
      </c>
      <c r="D23" s="143">
        <v>385</v>
      </c>
      <c r="E23" s="191" t="s">
        <v>16</v>
      </c>
      <c r="F23" s="141" t="s">
        <v>809</v>
      </c>
      <c r="G23" s="141" t="s">
        <v>810</v>
      </c>
      <c r="H23" s="183" t="s">
        <v>1841</v>
      </c>
    </row>
    <row r="24" spans="1:8" ht="30" customHeight="1">
      <c r="A24" s="92">
        <v>22</v>
      </c>
      <c r="B24" s="88"/>
      <c r="C24" s="88"/>
      <c r="D24" s="143"/>
      <c r="E24" s="191" t="s">
        <v>16</v>
      </c>
      <c r="F24" s="141"/>
      <c r="G24" s="92" t="s">
        <v>855</v>
      </c>
      <c r="H24" s="141"/>
    </row>
    <row r="25" spans="1:8" ht="30" customHeight="1">
      <c r="A25" s="92">
        <v>23</v>
      </c>
      <c r="B25" s="88"/>
      <c r="C25" s="88"/>
      <c r="D25" s="143"/>
      <c r="E25" s="146"/>
      <c r="F25" s="141"/>
      <c r="G25" s="141" t="s">
        <v>1093</v>
      </c>
      <c r="H25" s="141"/>
    </row>
    <row r="26" spans="1:8" ht="30" customHeight="1">
      <c r="A26" s="92">
        <v>24</v>
      </c>
      <c r="B26" s="88" t="s">
        <v>468</v>
      </c>
      <c r="C26" s="88" t="s">
        <v>363</v>
      </c>
      <c r="D26" s="143">
        <v>311.5</v>
      </c>
      <c r="E26" s="191" t="s">
        <v>16</v>
      </c>
      <c r="F26" s="141" t="s">
        <v>488</v>
      </c>
      <c r="G26" s="141" t="s">
        <v>782</v>
      </c>
      <c r="H26" s="183" t="s">
        <v>1837</v>
      </c>
    </row>
    <row r="27" spans="1:8" ht="30" customHeight="1">
      <c r="A27" s="92">
        <v>25</v>
      </c>
      <c r="B27" s="88"/>
      <c r="C27" s="88"/>
      <c r="D27" s="143"/>
      <c r="E27" s="146"/>
      <c r="F27" s="141"/>
      <c r="G27" s="92" t="s">
        <v>864</v>
      </c>
      <c r="H27" s="141"/>
    </row>
    <row r="28" spans="1:8" ht="30" customHeight="1">
      <c r="A28" s="92">
        <v>26</v>
      </c>
      <c r="B28" s="88"/>
      <c r="C28" s="88"/>
      <c r="D28" s="143"/>
      <c r="E28" s="191" t="s">
        <v>16</v>
      </c>
      <c r="F28" s="141"/>
      <c r="G28" s="141" t="s">
        <v>867</v>
      </c>
      <c r="H28" s="141"/>
    </row>
    <row r="29" spans="1:8" ht="30" customHeight="1">
      <c r="A29" s="92">
        <v>27</v>
      </c>
      <c r="B29" s="88"/>
      <c r="C29" s="88"/>
      <c r="D29" s="143"/>
      <c r="E29" s="191" t="s">
        <v>16</v>
      </c>
      <c r="F29" s="141"/>
      <c r="G29" s="141" t="s">
        <v>863</v>
      </c>
      <c r="H29" s="183" t="s">
        <v>1671</v>
      </c>
    </row>
    <row r="30" spans="1:8" ht="30" customHeight="1">
      <c r="A30" s="92">
        <v>28</v>
      </c>
      <c r="B30" s="88"/>
      <c r="C30" s="88"/>
      <c r="D30" s="143"/>
      <c r="E30" s="146"/>
      <c r="F30" s="141"/>
      <c r="G30" s="92" t="s">
        <v>1094</v>
      </c>
      <c r="H30" s="141"/>
    </row>
    <row r="31" spans="1:8" ht="30" customHeight="1">
      <c r="A31" s="92">
        <v>29</v>
      </c>
      <c r="B31" s="88"/>
      <c r="C31" s="88"/>
      <c r="D31" s="143"/>
      <c r="E31" s="146"/>
      <c r="F31" s="141"/>
      <c r="G31" s="141" t="s">
        <v>1095</v>
      </c>
      <c r="H31" s="141"/>
    </row>
    <row r="32" spans="1:8" ht="30" customHeight="1">
      <c r="A32" s="92">
        <v>30</v>
      </c>
      <c r="B32" s="88"/>
      <c r="C32" s="88"/>
      <c r="D32" s="143"/>
      <c r="E32" s="146"/>
      <c r="F32" s="141"/>
      <c r="G32" s="141" t="s">
        <v>1096</v>
      </c>
      <c r="H32" s="141"/>
    </row>
    <row r="33" spans="1:11" ht="30" customHeight="1">
      <c r="A33" s="92">
        <v>31</v>
      </c>
      <c r="B33" s="88"/>
      <c r="C33" s="88"/>
      <c r="D33" s="143"/>
      <c r="E33" s="146" t="s">
        <v>16</v>
      </c>
      <c r="F33" s="141"/>
      <c r="G33" s="92" t="s">
        <v>1097</v>
      </c>
      <c r="H33" s="141" t="s">
        <v>748</v>
      </c>
    </row>
    <row r="34" spans="1:11" ht="30" customHeight="1">
      <c r="A34" s="92">
        <v>32</v>
      </c>
      <c r="B34" s="88"/>
      <c r="C34" s="88"/>
      <c r="D34" s="143"/>
      <c r="E34" s="146" t="s">
        <v>16</v>
      </c>
      <c r="F34" s="141"/>
      <c r="G34" s="141" t="s">
        <v>1098</v>
      </c>
      <c r="H34" s="141" t="s">
        <v>748</v>
      </c>
    </row>
    <row r="35" spans="1:11" ht="30" customHeight="1">
      <c r="A35" s="92">
        <v>33</v>
      </c>
      <c r="B35" s="88"/>
      <c r="C35" s="88"/>
      <c r="D35" s="143"/>
      <c r="E35" s="146"/>
      <c r="F35" s="141"/>
      <c r="G35" s="141" t="s">
        <v>1099</v>
      </c>
      <c r="H35" s="141"/>
    </row>
    <row r="36" spans="1:11" ht="30" customHeight="1">
      <c r="A36" s="92">
        <v>34</v>
      </c>
      <c r="B36" s="88" t="s">
        <v>370</v>
      </c>
      <c r="C36" s="88" t="s">
        <v>363</v>
      </c>
      <c r="D36" s="143">
        <v>310</v>
      </c>
      <c r="E36" s="146" t="s">
        <v>1122</v>
      </c>
      <c r="F36" s="141" t="s">
        <v>1080</v>
      </c>
      <c r="G36" s="141" t="s">
        <v>1081</v>
      </c>
      <c r="H36" s="141" t="s">
        <v>748</v>
      </c>
    </row>
    <row r="37" spans="1:11" ht="30" customHeight="1">
      <c r="A37" s="92">
        <v>35</v>
      </c>
      <c r="B37" s="88" t="s">
        <v>367</v>
      </c>
      <c r="C37" s="88" t="s">
        <v>363</v>
      </c>
      <c r="D37" s="143">
        <v>310</v>
      </c>
      <c r="E37" s="146" t="s">
        <v>16</v>
      </c>
      <c r="F37" s="141"/>
      <c r="G37" s="141" t="s">
        <v>1100</v>
      </c>
      <c r="H37" s="141" t="s">
        <v>748</v>
      </c>
    </row>
    <row r="38" spans="1:11" ht="30" customHeight="1">
      <c r="A38" s="92">
        <v>36</v>
      </c>
      <c r="B38" s="88" t="s">
        <v>440</v>
      </c>
      <c r="C38" s="88" t="s">
        <v>363</v>
      </c>
      <c r="D38" s="143">
        <v>310</v>
      </c>
      <c r="E38" s="146" t="s">
        <v>1139</v>
      </c>
      <c r="F38" s="141" t="s">
        <v>1125</v>
      </c>
      <c r="G38" s="141" t="s">
        <v>1101</v>
      </c>
      <c r="H38" s="141" t="s">
        <v>748</v>
      </c>
    </row>
    <row r="39" spans="1:11" ht="30" customHeight="1">
      <c r="A39" s="92">
        <v>37</v>
      </c>
      <c r="B39" s="88" t="s">
        <v>437</v>
      </c>
      <c r="C39" s="88" t="s">
        <v>363</v>
      </c>
      <c r="D39" s="143">
        <v>310</v>
      </c>
      <c r="E39" s="146" t="s">
        <v>1138</v>
      </c>
      <c r="F39" s="141" t="s">
        <v>1126</v>
      </c>
      <c r="G39" s="141" t="s">
        <v>742</v>
      </c>
      <c r="H39" s="141" t="s">
        <v>748</v>
      </c>
    </row>
    <row r="40" spans="1:11" ht="30" customHeight="1">
      <c r="A40" s="92">
        <v>38</v>
      </c>
      <c r="B40" s="88"/>
      <c r="C40" s="88"/>
      <c r="D40" s="143"/>
      <c r="E40" s="146"/>
      <c r="F40" s="141"/>
      <c r="G40" s="141" t="s">
        <v>1102</v>
      </c>
      <c r="H40" s="141"/>
    </row>
    <row r="41" spans="1:11" ht="30" customHeight="1">
      <c r="A41" s="92">
        <v>39</v>
      </c>
      <c r="B41" s="88"/>
      <c r="C41" s="88"/>
      <c r="D41" s="143"/>
      <c r="E41" s="191" t="s">
        <v>16</v>
      </c>
      <c r="F41" s="141"/>
      <c r="G41" s="141" t="s">
        <v>1103</v>
      </c>
      <c r="H41" s="141"/>
    </row>
    <row r="42" spans="1:11" ht="30" customHeight="1">
      <c r="A42" s="92">
        <v>40</v>
      </c>
      <c r="B42" s="88" t="s">
        <v>442</v>
      </c>
      <c r="C42" s="88" t="s">
        <v>363</v>
      </c>
      <c r="D42" s="143">
        <v>310</v>
      </c>
      <c r="E42" s="146" t="s">
        <v>1319</v>
      </c>
      <c r="F42" s="141" t="s">
        <v>1239</v>
      </c>
      <c r="G42" s="92" t="s">
        <v>1104</v>
      </c>
      <c r="H42" s="141" t="s">
        <v>748</v>
      </c>
    </row>
    <row r="43" spans="1:11" ht="30" customHeight="1">
      <c r="A43" s="92">
        <v>41</v>
      </c>
      <c r="B43" s="88"/>
      <c r="C43" s="88" t="s">
        <v>363</v>
      </c>
      <c r="D43" s="143"/>
      <c r="E43" s="191" t="s">
        <v>1685</v>
      </c>
      <c r="F43" s="141"/>
      <c r="G43" s="141" t="s">
        <v>1105</v>
      </c>
      <c r="H43" s="183" t="s">
        <v>1688</v>
      </c>
    </row>
    <row r="44" spans="1:11" ht="30" customHeight="1">
      <c r="A44" s="92">
        <v>42</v>
      </c>
      <c r="B44" s="88"/>
      <c r="C44" s="88"/>
      <c r="D44" s="143"/>
      <c r="E44" s="146"/>
      <c r="F44" s="141"/>
      <c r="G44" s="141" t="s">
        <v>1106</v>
      </c>
      <c r="H44" s="141"/>
    </row>
    <row r="45" spans="1:11" ht="30" customHeight="1">
      <c r="A45" s="92">
        <v>43</v>
      </c>
      <c r="B45" s="88" t="s">
        <v>435</v>
      </c>
      <c r="C45" s="88" t="s">
        <v>363</v>
      </c>
      <c r="D45" s="143">
        <v>310</v>
      </c>
      <c r="E45" s="191" t="s">
        <v>16</v>
      </c>
      <c r="F45" s="141" t="s">
        <v>1160</v>
      </c>
      <c r="G45" s="92" t="s">
        <v>1107</v>
      </c>
      <c r="H45" s="183" t="s">
        <v>1839</v>
      </c>
    </row>
    <row r="46" spans="1:11" ht="30" customHeight="1">
      <c r="A46" s="92">
        <v>44</v>
      </c>
      <c r="B46" s="88" t="s">
        <v>428</v>
      </c>
      <c r="C46" s="88" t="s">
        <v>363</v>
      </c>
      <c r="D46" s="143">
        <v>305</v>
      </c>
      <c r="E46" s="146" t="s">
        <v>16</v>
      </c>
      <c r="F46" s="141" t="s">
        <v>826</v>
      </c>
      <c r="G46" s="141" t="s">
        <v>825</v>
      </c>
      <c r="H46" s="141" t="s">
        <v>748</v>
      </c>
    </row>
    <row r="47" spans="1:11" s="245" customFormat="1" ht="18" customHeight="1">
      <c r="A47" s="92">
        <v>45</v>
      </c>
      <c r="B47" s="240" t="s">
        <v>477</v>
      </c>
      <c r="C47" s="241" t="s">
        <v>363</v>
      </c>
      <c r="D47" s="242">
        <v>311.5</v>
      </c>
      <c r="E47" s="247" t="s">
        <v>16</v>
      </c>
      <c r="F47" s="240" t="s">
        <v>497</v>
      </c>
      <c r="G47" s="244" t="s">
        <v>770</v>
      </c>
      <c r="H47" s="183" t="s">
        <v>1660</v>
      </c>
    </row>
    <row r="48" spans="1:11" s="182" customFormat="1" ht="30" customHeight="1">
      <c r="A48" s="92">
        <v>46</v>
      </c>
      <c r="B48" s="75" t="s">
        <v>757</v>
      </c>
      <c r="C48" s="75" t="s">
        <v>754</v>
      </c>
      <c r="D48" s="143">
        <v>260</v>
      </c>
      <c r="E48" s="183" t="s">
        <v>16</v>
      </c>
      <c r="F48" s="140" t="s">
        <v>758</v>
      </c>
      <c r="G48" s="92" t="s">
        <v>759</v>
      </c>
      <c r="H48" s="206" t="s">
        <v>1812</v>
      </c>
      <c r="I48" s="181"/>
      <c r="K48" s="181"/>
    </row>
    <row r="49" spans="1:8" ht="30" customHeight="1">
      <c r="A49" s="92">
        <v>47</v>
      </c>
      <c r="B49" s="75"/>
      <c r="C49" s="75"/>
      <c r="D49" s="143"/>
      <c r="E49" s="146"/>
      <c r="F49" s="140"/>
      <c r="G49" s="141" t="s">
        <v>1108</v>
      </c>
      <c r="H49" s="92"/>
    </row>
    <row r="50" spans="1:8" ht="30" customHeight="1">
      <c r="A50" s="92">
        <v>48</v>
      </c>
      <c r="B50" s="88" t="s">
        <v>430</v>
      </c>
      <c r="C50" s="88" t="s">
        <v>363</v>
      </c>
      <c r="D50" s="143">
        <v>305</v>
      </c>
      <c r="E50" s="146" t="s">
        <v>16</v>
      </c>
      <c r="F50" s="141" t="s">
        <v>797</v>
      </c>
      <c r="G50" s="141" t="s">
        <v>798</v>
      </c>
      <c r="H50" s="141" t="s">
        <v>748</v>
      </c>
    </row>
    <row r="51" spans="1:8" ht="30" customHeight="1">
      <c r="A51" s="92">
        <v>49</v>
      </c>
      <c r="B51" s="88" t="s">
        <v>433</v>
      </c>
      <c r="C51" s="88" t="s">
        <v>363</v>
      </c>
      <c r="D51" s="143">
        <v>305</v>
      </c>
      <c r="E51" s="191" t="s">
        <v>1383</v>
      </c>
      <c r="F51" s="141" t="s">
        <v>812</v>
      </c>
      <c r="G51" s="141" t="s">
        <v>813</v>
      </c>
      <c r="H51" s="183" t="s">
        <v>1828</v>
      </c>
    </row>
    <row r="52" spans="1:8" ht="30" customHeight="1">
      <c r="A52" s="92">
        <v>50</v>
      </c>
      <c r="B52" s="88"/>
      <c r="C52" s="88"/>
      <c r="D52" s="143"/>
      <c r="E52" s="191" t="s">
        <v>16</v>
      </c>
      <c r="F52" s="141"/>
      <c r="G52" s="141" t="s">
        <v>1109</v>
      </c>
      <c r="H52" s="141"/>
    </row>
    <row r="53" spans="1:8" ht="30" customHeight="1">
      <c r="A53" s="92">
        <v>51</v>
      </c>
      <c r="B53" s="88" t="s">
        <v>467</v>
      </c>
      <c r="C53" s="88" t="s">
        <v>363</v>
      </c>
      <c r="D53" s="143">
        <v>311.5</v>
      </c>
      <c r="E53" s="191" t="s">
        <v>16</v>
      </c>
      <c r="F53" s="141" t="s">
        <v>487</v>
      </c>
      <c r="G53" s="141" t="s">
        <v>781</v>
      </c>
      <c r="H53" s="183" t="s">
        <v>1675</v>
      </c>
    </row>
    <row r="54" spans="1:8" ht="30" customHeight="1">
      <c r="A54" s="92">
        <v>52</v>
      </c>
      <c r="B54" s="88"/>
      <c r="C54" s="88"/>
      <c r="D54" s="143"/>
      <c r="E54" s="146"/>
      <c r="F54" s="141"/>
      <c r="G54" s="92" t="s">
        <v>1110</v>
      </c>
      <c r="H54" s="141"/>
    </row>
    <row r="55" spans="1:8" ht="30" customHeight="1">
      <c r="A55" s="92">
        <v>53</v>
      </c>
      <c r="B55" s="88" t="s">
        <v>472</v>
      </c>
      <c r="C55" s="88" t="s">
        <v>363</v>
      </c>
      <c r="D55" s="143">
        <v>311.5</v>
      </c>
      <c r="E55" s="146" t="s">
        <v>16</v>
      </c>
      <c r="F55" s="141" t="s">
        <v>492</v>
      </c>
      <c r="G55" s="141" t="s">
        <v>785</v>
      </c>
      <c r="H55" s="141" t="s">
        <v>748</v>
      </c>
    </row>
    <row r="56" spans="1:8" ht="30" customHeight="1">
      <c r="A56" s="92">
        <v>54</v>
      </c>
      <c r="B56" s="88" t="s">
        <v>475</v>
      </c>
      <c r="C56" s="88" t="s">
        <v>363</v>
      </c>
      <c r="D56" s="143">
        <v>311.5</v>
      </c>
      <c r="E56" s="146" t="s">
        <v>1164</v>
      </c>
      <c r="F56" s="141" t="s">
        <v>495</v>
      </c>
      <c r="G56" s="141" t="s">
        <v>786</v>
      </c>
      <c r="H56" s="141" t="s">
        <v>748</v>
      </c>
    </row>
    <row r="57" spans="1:8" ht="30" customHeight="1">
      <c r="A57" s="92">
        <v>55</v>
      </c>
      <c r="B57" s="88" t="s">
        <v>476</v>
      </c>
      <c r="C57" s="88" t="s">
        <v>363</v>
      </c>
      <c r="D57" s="143">
        <v>311.5</v>
      </c>
      <c r="E57" s="146" t="s">
        <v>16</v>
      </c>
      <c r="F57" s="141" t="s">
        <v>496</v>
      </c>
      <c r="G57" s="141" t="s">
        <v>787</v>
      </c>
      <c r="H57" s="141" t="s">
        <v>748</v>
      </c>
    </row>
    <row r="58" spans="1:8" ht="30" customHeight="1">
      <c r="A58" s="92">
        <v>56</v>
      </c>
      <c r="B58" s="88"/>
      <c r="C58" s="88" t="s">
        <v>363</v>
      </c>
      <c r="D58" s="143"/>
      <c r="E58" s="146" t="s">
        <v>16</v>
      </c>
      <c r="F58" s="141"/>
      <c r="G58" s="141" t="s">
        <v>771</v>
      </c>
      <c r="H58" s="141"/>
    </row>
    <row r="59" spans="1:8" ht="30" customHeight="1">
      <c r="A59" s="92">
        <v>57</v>
      </c>
      <c r="B59" s="88" t="s">
        <v>469</v>
      </c>
      <c r="C59" s="88" t="s">
        <v>363</v>
      </c>
      <c r="D59" s="143">
        <v>311.5</v>
      </c>
      <c r="E59" s="146" t="s">
        <v>1447</v>
      </c>
      <c r="F59" s="141" t="s">
        <v>489</v>
      </c>
      <c r="G59" s="141" t="s">
        <v>783</v>
      </c>
      <c r="H59" s="141" t="s">
        <v>748</v>
      </c>
    </row>
    <row r="60" spans="1:8" ht="30" customHeight="1">
      <c r="A60" s="92">
        <v>58</v>
      </c>
      <c r="B60" s="88" t="s">
        <v>471</v>
      </c>
      <c r="C60" s="88" t="s">
        <v>363</v>
      </c>
      <c r="D60" s="143">
        <v>311.5</v>
      </c>
      <c r="E60" s="191" t="s">
        <v>16</v>
      </c>
      <c r="F60" s="141" t="s">
        <v>491</v>
      </c>
      <c r="G60" s="141" t="s">
        <v>784</v>
      </c>
      <c r="H60" s="183" t="s">
        <v>1688</v>
      </c>
    </row>
    <row r="61" spans="1:8" ht="30" customHeight="1">
      <c r="A61" s="92">
        <v>59</v>
      </c>
      <c r="B61" s="88" t="s">
        <v>473</v>
      </c>
      <c r="C61" s="88" t="s">
        <v>363</v>
      </c>
      <c r="D61" s="143">
        <v>311.5</v>
      </c>
      <c r="E61" s="146" t="s">
        <v>802</v>
      </c>
      <c r="F61" s="141" t="s">
        <v>493</v>
      </c>
      <c r="G61" s="141" t="s">
        <v>746</v>
      </c>
      <c r="H61" s="141" t="s">
        <v>748</v>
      </c>
    </row>
    <row r="62" spans="1:8" ht="30" customHeight="1">
      <c r="A62" s="92">
        <v>60</v>
      </c>
      <c r="B62" s="88" t="s">
        <v>466</v>
      </c>
      <c r="C62" s="88" t="s">
        <v>363</v>
      </c>
      <c r="D62" s="143">
        <v>311.5</v>
      </c>
      <c r="E62" s="146" t="s">
        <v>593</v>
      </c>
      <c r="F62" s="141" t="s">
        <v>486</v>
      </c>
      <c r="G62" s="141" t="s">
        <v>780</v>
      </c>
      <c r="H62" s="141" t="s">
        <v>748</v>
      </c>
    </row>
    <row r="63" spans="1:8" ht="30" customHeight="1">
      <c r="A63" s="92">
        <v>61</v>
      </c>
      <c r="B63" s="88" t="s">
        <v>478</v>
      </c>
      <c r="C63" s="88" t="s">
        <v>363</v>
      </c>
      <c r="D63" s="143">
        <v>311.5</v>
      </c>
      <c r="E63" s="146" t="s">
        <v>624</v>
      </c>
      <c r="F63" s="141" t="s">
        <v>498</v>
      </c>
      <c r="G63" s="141" t="s">
        <v>789</v>
      </c>
      <c r="H63" s="141" t="s">
        <v>748</v>
      </c>
    </row>
    <row r="64" spans="1:8" ht="30" customHeight="1">
      <c r="A64" s="92">
        <v>62</v>
      </c>
      <c r="B64" s="88"/>
      <c r="C64" s="88" t="s">
        <v>363</v>
      </c>
      <c r="D64" s="143"/>
      <c r="E64" s="191" t="s">
        <v>16</v>
      </c>
      <c r="F64" s="141"/>
      <c r="G64" s="183" t="s">
        <v>1502</v>
      </c>
      <c r="H64" s="183" t="s">
        <v>1836</v>
      </c>
    </row>
    <row r="65" spans="1:8" ht="38.25">
      <c r="A65" s="92">
        <v>63</v>
      </c>
      <c r="B65" s="88" t="s">
        <v>635</v>
      </c>
      <c r="C65" s="88" t="s">
        <v>363</v>
      </c>
      <c r="D65" s="143">
        <v>311.5</v>
      </c>
      <c r="E65" s="191" t="s">
        <v>1687</v>
      </c>
      <c r="F65" s="141" t="s">
        <v>637</v>
      </c>
      <c r="G65" s="141" t="s">
        <v>767</v>
      </c>
      <c r="H65" s="183" t="s">
        <v>1686</v>
      </c>
    </row>
    <row r="66" spans="1:8" ht="30" customHeight="1">
      <c r="A66" s="92">
        <v>64</v>
      </c>
      <c r="B66" s="88" t="s">
        <v>638</v>
      </c>
      <c r="C66" s="88" t="s">
        <v>363</v>
      </c>
      <c r="D66" s="143">
        <v>311.5</v>
      </c>
      <c r="E66" s="191" t="s">
        <v>1870</v>
      </c>
      <c r="F66" s="141" t="s">
        <v>639</v>
      </c>
      <c r="G66" s="141" t="s">
        <v>773</v>
      </c>
      <c r="H66" s="183" t="s">
        <v>1871</v>
      </c>
    </row>
    <row r="67" spans="1:8" ht="30" customHeight="1">
      <c r="A67" s="92">
        <v>65</v>
      </c>
      <c r="B67" s="88" t="s">
        <v>646</v>
      </c>
      <c r="C67" s="88" t="s">
        <v>363</v>
      </c>
      <c r="D67" s="143">
        <v>311.5</v>
      </c>
      <c r="E67" s="146" t="s">
        <v>623</v>
      </c>
      <c r="F67" s="141" t="s">
        <v>648</v>
      </c>
      <c r="G67" s="141" t="s">
        <v>769</v>
      </c>
      <c r="H67" s="141" t="s">
        <v>748</v>
      </c>
    </row>
    <row r="68" spans="1:8" ht="30" customHeight="1">
      <c r="A68" s="92">
        <v>66</v>
      </c>
      <c r="B68" s="88" t="s">
        <v>632</v>
      </c>
      <c r="C68" s="88" t="s">
        <v>363</v>
      </c>
      <c r="D68" s="143">
        <v>311.5</v>
      </c>
      <c r="E68" s="191" t="s">
        <v>16</v>
      </c>
      <c r="F68" s="141" t="s">
        <v>634</v>
      </c>
      <c r="G68" s="141" t="s">
        <v>768</v>
      </c>
      <c r="H68" s="183" t="s">
        <v>1657</v>
      </c>
    </row>
    <row r="69" spans="1:8" ht="30" customHeight="1">
      <c r="A69" s="92">
        <v>67</v>
      </c>
      <c r="B69" s="88" t="s">
        <v>629</v>
      </c>
      <c r="C69" s="88" t="s">
        <v>363</v>
      </c>
      <c r="D69" s="143">
        <v>311.5</v>
      </c>
      <c r="E69" s="146" t="s">
        <v>630</v>
      </c>
      <c r="F69" s="141" t="s">
        <v>631</v>
      </c>
      <c r="G69" s="141" t="s">
        <v>772</v>
      </c>
      <c r="H69" s="141" t="s">
        <v>748</v>
      </c>
    </row>
    <row r="70" spans="1:8" ht="30" customHeight="1">
      <c r="A70" s="92">
        <v>68</v>
      </c>
      <c r="B70" s="88" t="s">
        <v>649</v>
      </c>
      <c r="C70" s="88" t="s">
        <v>363</v>
      </c>
      <c r="D70" s="143">
        <v>311.5</v>
      </c>
      <c r="E70" s="146" t="s">
        <v>650</v>
      </c>
      <c r="F70" s="141" t="s">
        <v>651</v>
      </c>
      <c r="G70" s="141" t="s">
        <v>777</v>
      </c>
      <c r="H70" s="141" t="s">
        <v>748</v>
      </c>
    </row>
    <row r="71" spans="1:8" ht="30" customHeight="1">
      <c r="A71" s="92">
        <v>69</v>
      </c>
      <c r="B71" s="88" t="s">
        <v>644</v>
      </c>
      <c r="C71" s="88" t="s">
        <v>363</v>
      </c>
      <c r="D71" s="143">
        <v>311.5</v>
      </c>
      <c r="E71" s="146" t="s">
        <v>647</v>
      </c>
      <c r="F71" s="141" t="s">
        <v>645</v>
      </c>
      <c r="G71" s="141" t="s">
        <v>776</v>
      </c>
      <c r="H71" s="141" t="s">
        <v>748</v>
      </c>
    </row>
    <row r="72" spans="1:8" ht="30" customHeight="1">
      <c r="A72" s="92">
        <v>70</v>
      </c>
      <c r="B72" s="88" t="s">
        <v>642</v>
      </c>
      <c r="C72" s="88" t="s">
        <v>363</v>
      </c>
      <c r="D72" s="143">
        <v>311.5</v>
      </c>
      <c r="E72" s="191" t="s">
        <v>16</v>
      </c>
      <c r="F72" s="141" t="s">
        <v>643</v>
      </c>
      <c r="G72" s="141" t="s">
        <v>775</v>
      </c>
      <c r="H72" s="141" t="s">
        <v>748</v>
      </c>
    </row>
    <row r="73" spans="1:8" ht="30" customHeight="1">
      <c r="A73" s="92">
        <v>71</v>
      </c>
      <c r="B73" s="88"/>
      <c r="C73" s="88"/>
      <c r="D73" s="143"/>
      <c r="E73" s="191" t="s">
        <v>16</v>
      </c>
      <c r="F73" s="141"/>
      <c r="G73" s="141" t="s">
        <v>774</v>
      </c>
      <c r="H73" s="206" t="s">
        <v>1877</v>
      </c>
    </row>
    <row r="74" spans="1:8" ht="30" customHeight="1">
      <c r="A74" s="92">
        <v>72</v>
      </c>
      <c r="B74" s="88" t="s">
        <v>474</v>
      </c>
      <c r="C74" s="88" t="s">
        <v>363</v>
      </c>
      <c r="D74" s="143">
        <v>311.5</v>
      </c>
      <c r="E74" s="191" t="s">
        <v>1635</v>
      </c>
      <c r="F74" s="141" t="s">
        <v>494</v>
      </c>
      <c r="G74" s="141" t="s">
        <v>760</v>
      </c>
      <c r="H74" s="141" t="s">
        <v>748</v>
      </c>
    </row>
    <row r="75" spans="1:8" ht="30" customHeight="1">
      <c r="A75" s="92">
        <v>73</v>
      </c>
      <c r="B75" s="75" t="s">
        <v>761</v>
      </c>
      <c r="C75" s="75" t="s">
        <v>754</v>
      </c>
      <c r="D75" s="143">
        <v>260</v>
      </c>
      <c r="E75" s="191" t="s">
        <v>1741</v>
      </c>
      <c r="F75" s="140" t="s">
        <v>762</v>
      </c>
      <c r="G75" s="92" t="s">
        <v>763</v>
      </c>
      <c r="H75" s="206" t="s">
        <v>1742</v>
      </c>
    </row>
    <row r="76" spans="1:8" ht="30" customHeight="1">
      <c r="A76" s="92">
        <v>74</v>
      </c>
      <c r="B76" s="75" t="s">
        <v>827</v>
      </c>
      <c r="C76" s="75" t="s">
        <v>754</v>
      </c>
      <c r="D76" s="143">
        <v>260</v>
      </c>
      <c r="E76" s="146" t="s">
        <v>830</v>
      </c>
      <c r="F76" s="141" t="s">
        <v>828</v>
      </c>
      <c r="G76" s="92" t="s">
        <v>829</v>
      </c>
      <c r="H76" s="92" t="s">
        <v>748</v>
      </c>
    </row>
    <row r="77" spans="1:8" ht="30" customHeight="1">
      <c r="A77" s="92">
        <v>75</v>
      </c>
      <c r="B77" s="75" t="s">
        <v>764</v>
      </c>
      <c r="C77" s="75" t="s">
        <v>754</v>
      </c>
      <c r="D77" s="143">
        <v>260</v>
      </c>
      <c r="E77" s="146" t="s">
        <v>833</v>
      </c>
      <c r="F77" s="140" t="s">
        <v>765</v>
      </c>
      <c r="G77" s="92" t="s">
        <v>766</v>
      </c>
      <c r="H77" s="206" t="s">
        <v>1847</v>
      </c>
    </row>
    <row r="78" spans="1:8" ht="30" customHeight="1">
      <c r="A78" s="92">
        <v>76</v>
      </c>
      <c r="B78" s="88"/>
      <c r="C78" s="88"/>
      <c r="D78" s="143"/>
      <c r="E78" s="191" t="s">
        <v>16</v>
      </c>
      <c r="F78" s="141"/>
      <c r="G78" s="141" t="s">
        <v>799</v>
      </c>
      <c r="H78" s="206" t="s">
        <v>1840</v>
      </c>
    </row>
    <row r="79" spans="1:8" ht="30" customHeight="1">
      <c r="A79" s="92">
        <v>77</v>
      </c>
      <c r="B79" s="88" t="s">
        <v>835</v>
      </c>
      <c r="C79" s="75" t="s">
        <v>754</v>
      </c>
      <c r="D79" s="143">
        <v>260</v>
      </c>
      <c r="E79" s="146" t="s">
        <v>870</v>
      </c>
      <c r="F79" s="141" t="s">
        <v>891</v>
      </c>
      <c r="G79" s="92" t="s">
        <v>836</v>
      </c>
      <c r="H79" s="92" t="s">
        <v>748</v>
      </c>
    </row>
    <row r="80" spans="1:8" ht="30" customHeight="1">
      <c r="A80" s="92">
        <v>78</v>
      </c>
      <c r="B80" s="88" t="s">
        <v>837</v>
      </c>
      <c r="C80" s="75" t="s">
        <v>754</v>
      </c>
      <c r="D80" s="143">
        <v>260</v>
      </c>
      <c r="E80" s="146" t="s">
        <v>871</v>
      </c>
      <c r="F80" s="141" t="s">
        <v>892</v>
      </c>
      <c r="G80" s="92" t="s">
        <v>838</v>
      </c>
      <c r="H80" s="92" t="s">
        <v>748</v>
      </c>
    </row>
    <row r="81" spans="1:8" ht="30" customHeight="1">
      <c r="A81" s="92">
        <v>79</v>
      </c>
      <c r="B81" s="88" t="s">
        <v>839</v>
      </c>
      <c r="C81" s="75" t="s">
        <v>754</v>
      </c>
      <c r="D81" s="143">
        <v>260</v>
      </c>
      <c r="E81" s="146" t="s">
        <v>872</v>
      </c>
      <c r="F81" s="141" t="s">
        <v>893</v>
      </c>
      <c r="G81" s="92" t="s">
        <v>840</v>
      </c>
      <c r="H81" s="92" t="s">
        <v>748</v>
      </c>
    </row>
    <row r="82" spans="1:8" ht="30" customHeight="1">
      <c r="A82" s="92">
        <v>80</v>
      </c>
      <c r="B82" s="88" t="s">
        <v>841</v>
      </c>
      <c r="C82" s="75" t="s">
        <v>754</v>
      </c>
      <c r="D82" s="143">
        <v>260</v>
      </c>
      <c r="E82" s="146" t="s">
        <v>869</v>
      </c>
      <c r="F82" s="141" t="s">
        <v>894</v>
      </c>
      <c r="G82" s="92" t="s">
        <v>842</v>
      </c>
      <c r="H82" s="92" t="s">
        <v>748</v>
      </c>
    </row>
    <row r="83" spans="1:8" ht="30" customHeight="1">
      <c r="A83" s="92">
        <v>81</v>
      </c>
      <c r="B83" s="88" t="s">
        <v>843</v>
      </c>
      <c r="C83" s="75" t="s">
        <v>754</v>
      </c>
      <c r="D83" s="143">
        <v>260</v>
      </c>
      <c r="E83" s="191" t="s">
        <v>16</v>
      </c>
      <c r="F83" s="141" t="s">
        <v>895</v>
      </c>
      <c r="G83" s="92" t="s">
        <v>844</v>
      </c>
      <c r="H83" s="206" t="s">
        <v>1902</v>
      </c>
    </row>
    <row r="84" spans="1:8" ht="30" customHeight="1">
      <c r="A84" s="92">
        <v>82</v>
      </c>
      <c r="B84" s="88" t="s">
        <v>845</v>
      </c>
      <c r="C84" s="75" t="s">
        <v>754</v>
      </c>
      <c r="D84" s="143">
        <v>260</v>
      </c>
      <c r="E84" s="146" t="s">
        <v>876</v>
      </c>
      <c r="F84" s="141" t="s">
        <v>896</v>
      </c>
      <c r="G84" s="92" t="s">
        <v>846</v>
      </c>
      <c r="H84" s="92" t="s">
        <v>748</v>
      </c>
    </row>
    <row r="85" spans="1:8" ht="30" customHeight="1">
      <c r="A85" s="92">
        <v>83</v>
      </c>
      <c r="B85" s="88" t="s">
        <v>847</v>
      </c>
      <c r="C85" s="75" t="s">
        <v>754</v>
      </c>
      <c r="D85" s="143">
        <v>260</v>
      </c>
      <c r="E85" s="191" t="s">
        <v>16</v>
      </c>
      <c r="F85" s="141" t="s">
        <v>897</v>
      </c>
      <c r="G85" s="92" t="s">
        <v>848</v>
      </c>
      <c r="H85" s="206" t="s">
        <v>1686</v>
      </c>
    </row>
    <row r="86" spans="1:8" ht="30" customHeight="1">
      <c r="A86" s="92">
        <v>84</v>
      </c>
      <c r="B86" s="88" t="s">
        <v>849</v>
      </c>
      <c r="C86" s="75" t="s">
        <v>754</v>
      </c>
      <c r="D86" s="143">
        <v>260</v>
      </c>
      <c r="E86" s="146" t="s">
        <v>874</v>
      </c>
      <c r="F86" s="141" t="s">
        <v>898</v>
      </c>
      <c r="G86" s="92" t="s">
        <v>850</v>
      </c>
      <c r="H86" s="92" t="s">
        <v>748</v>
      </c>
    </row>
    <row r="87" spans="1:8" ht="30" customHeight="1">
      <c r="A87" s="92">
        <v>85</v>
      </c>
      <c r="B87" s="88" t="s">
        <v>851</v>
      </c>
      <c r="C87" s="75" t="s">
        <v>754</v>
      </c>
      <c r="D87" s="143">
        <v>260</v>
      </c>
      <c r="E87" s="146" t="s">
        <v>873</v>
      </c>
      <c r="F87" s="141" t="s">
        <v>899</v>
      </c>
      <c r="G87" s="92" t="s">
        <v>852</v>
      </c>
      <c r="H87" s="92" t="s">
        <v>748</v>
      </c>
    </row>
    <row r="88" spans="1:8" ht="30" customHeight="1">
      <c r="A88" s="92">
        <v>86</v>
      </c>
      <c r="B88" s="88" t="s">
        <v>853</v>
      </c>
      <c r="C88" s="75" t="s">
        <v>754</v>
      </c>
      <c r="D88" s="143">
        <v>260</v>
      </c>
      <c r="E88" s="191" t="s">
        <v>1827</v>
      </c>
      <c r="F88" s="141" t="s">
        <v>900</v>
      </c>
      <c r="G88" s="92" t="s">
        <v>854</v>
      </c>
      <c r="H88" s="206" t="s">
        <v>1826</v>
      </c>
    </row>
    <row r="89" spans="1:8" ht="30" customHeight="1">
      <c r="A89" s="92">
        <v>87</v>
      </c>
      <c r="B89" s="88"/>
      <c r="C89" s="75"/>
      <c r="D89" s="143"/>
      <c r="E89" s="191" t="s">
        <v>16</v>
      </c>
      <c r="F89" s="141"/>
      <c r="G89" s="141" t="s">
        <v>1042</v>
      </c>
      <c r="H89" s="206" t="s">
        <v>1690</v>
      </c>
    </row>
    <row r="90" spans="1:8" ht="30" customHeight="1">
      <c r="A90" s="92">
        <v>88</v>
      </c>
      <c r="B90" s="88" t="s">
        <v>937</v>
      </c>
      <c r="C90" s="75" t="s">
        <v>363</v>
      </c>
      <c r="D90" s="143">
        <v>195</v>
      </c>
      <c r="E90" s="146" t="s">
        <v>904</v>
      </c>
      <c r="F90" s="141" t="s">
        <v>952</v>
      </c>
      <c r="G90" s="92" t="s">
        <v>1111</v>
      </c>
      <c r="H90" s="92" t="s">
        <v>748</v>
      </c>
    </row>
    <row r="91" spans="1:8" ht="30" customHeight="1">
      <c r="A91" s="92">
        <v>89</v>
      </c>
      <c r="B91" s="88" t="s">
        <v>942</v>
      </c>
      <c r="C91" s="75" t="s">
        <v>363</v>
      </c>
      <c r="D91" s="143">
        <v>195</v>
      </c>
      <c r="E91" s="146" t="s">
        <v>905</v>
      </c>
      <c r="F91" s="141" t="s">
        <v>957</v>
      </c>
      <c r="G91" s="92" t="s">
        <v>1112</v>
      </c>
      <c r="H91" s="92" t="s">
        <v>748</v>
      </c>
    </row>
    <row r="92" spans="1:8" ht="30" customHeight="1">
      <c r="A92" s="92">
        <v>90</v>
      </c>
      <c r="B92" s="88" t="s">
        <v>935</v>
      </c>
      <c r="C92" s="75" t="s">
        <v>363</v>
      </c>
      <c r="D92" s="143">
        <v>195</v>
      </c>
      <c r="E92" s="146" t="s">
        <v>1035</v>
      </c>
      <c r="F92" s="141" t="s">
        <v>950</v>
      </c>
      <c r="G92" s="92" t="s">
        <v>962</v>
      </c>
      <c r="H92" s="92" t="s">
        <v>748</v>
      </c>
    </row>
    <row r="93" spans="1:8" ht="30" customHeight="1">
      <c r="A93" s="92">
        <v>91</v>
      </c>
      <c r="B93" s="88" t="s">
        <v>940</v>
      </c>
      <c r="C93" s="75" t="s">
        <v>363</v>
      </c>
      <c r="D93" s="143">
        <v>195</v>
      </c>
      <c r="E93" s="146" t="s">
        <v>1036</v>
      </c>
      <c r="F93" s="141" t="s">
        <v>955</v>
      </c>
      <c r="G93" s="92" t="s">
        <v>1113</v>
      </c>
      <c r="H93" s="92" t="s">
        <v>748</v>
      </c>
    </row>
    <row r="94" spans="1:8" ht="30" customHeight="1">
      <c r="A94" s="92">
        <v>92</v>
      </c>
      <c r="B94" s="88" t="s">
        <v>941</v>
      </c>
      <c r="C94" s="75" t="s">
        <v>363</v>
      </c>
      <c r="D94" s="143">
        <v>195</v>
      </c>
      <c r="E94" s="191" t="s">
        <v>16</v>
      </c>
      <c r="F94" s="141" t="s">
        <v>956</v>
      </c>
      <c r="G94" s="92" t="s">
        <v>1114</v>
      </c>
      <c r="H94" s="206" t="s">
        <v>1739</v>
      </c>
    </row>
    <row r="95" spans="1:8" ht="30" customHeight="1">
      <c r="A95" s="92">
        <v>93</v>
      </c>
      <c r="B95" s="88" t="s">
        <v>934</v>
      </c>
      <c r="C95" s="75" t="s">
        <v>363</v>
      </c>
      <c r="D95" s="143">
        <v>195</v>
      </c>
      <c r="E95" s="146" t="s">
        <v>903</v>
      </c>
      <c r="F95" s="141" t="s">
        <v>949</v>
      </c>
      <c r="G95" s="92" t="s">
        <v>1115</v>
      </c>
      <c r="H95" s="92" t="s">
        <v>748</v>
      </c>
    </row>
    <row r="96" spans="1:8" ht="30" customHeight="1">
      <c r="A96" s="92">
        <v>94</v>
      </c>
      <c r="B96" s="88" t="s">
        <v>938</v>
      </c>
      <c r="C96" s="75" t="s">
        <v>363</v>
      </c>
      <c r="D96" s="143">
        <v>195</v>
      </c>
      <c r="E96" s="146" t="s">
        <v>902</v>
      </c>
      <c r="F96" s="141" t="s">
        <v>953</v>
      </c>
      <c r="G96" s="92" t="s">
        <v>1116</v>
      </c>
      <c r="H96" s="92" t="s">
        <v>748</v>
      </c>
    </row>
    <row r="97" spans="1:15" ht="30" customHeight="1">
      <c r="A97" s="92">
        <v>95</v>
      </c>
      <c r="B97" s="88" t="s">
        <v>929</v>
      </c>
      <c r="C97" s="75" t="s">
        <v>363</v>
      </c>
      <c r="D97" s="143">
        <v>195</v>
      </c>
      <c r="E97" s="191" t="s">
        <v>16</v>
      </c>
      <c r="F97" s="141" t="s">
        <v>944</v>
      </c>
      <c r="G97" s="92" t="s">
        <v>1117</v>
      </c>
      <c r="H97" s="92" t="s">
        <v>748</v>
      </c>
    </row>
    <row r="98" spans="1:15" ht="30" customHeight="1">
      <c r="A98" s="92">
        <v>96</v>
      </c>
      <c r="B98" s="88" t="s">
        <v>939</v>
      </c>
      <c r="C98" s="75" t="s">
        <v>363</v>
      </c>
      <c r="D98" s="143">
        <v>195</v>
      </c>
      <c r="E98" s="191" t="s">
        <v>1758</v>
      </c>
      <c r="F98" s="141" t="s">
        <v>954</v>
      </c>
      <c r="G98" s="92" t="s">
        <v>1118</v>
      </c>
      <c r="H98" s="92" t="s">
        <v>748</v>
      </c>
    </row>
    <row r="99" spans="1:15" ht="30" customHeight="1">
      <c r="A99" s="92">
        <v>97</v>
      </c>
      <c r="B99" s="88" t="s">
        <v>932</v>
      </c>
      <c r="C99" s="75" t="s">
        <v>363</v>
      </c>
      <c r="D99" s="143">
        <v>195</v>
      </c>
      <c r="E99" s="146" t="s">
        <v>1043</v>
      </c>
      <c r="F99" s="141" t="s">
        <v>947</v>
      </c>
      <c r="G99" s="92" t="s">
        <v>1119</v>
      </c>
      <c r="H99" s="92" t="s">
        <v>748</v>
      </c>
    </row>
    <row r="100" spans="1:15" ht="30" customHeight="1">
      <c r="A100" s="92">
        <v>98</v>
      </c>
      <c r="B100" s="88" t="s">
        <v>931</v>
      </c>
      <c r="C100" s="75" t="s">
        <v>363</v>
      </c>
      <c r="D100" s="143">
        <v>195</v>
      </c>
      <c r="E100" s="146" t="s">
        <v>1040</v>
      </c>
      <c r="F100" s="141" t="s">
        <v>946</v>
      </c>
      <c r="G100" s="92" t="s">
        <v>1120</v>
      </c>
      <c r="H100" s="92" t="s">
        <v>748</v>
      </c>
    </row>
    <row r="101" spans="1:15" ht="30" customHeight="1">
      <c r="A101" s="92">
        <v>99</v>
      </c>
      <c r="B101" s="88"/>
      <c r="C101" s="75"/>
      <c r="D101" s="143"/>
      <c r="E101" s="146"/>
      <c r="F101" s="141"/>
      <c r="G101" s="92" t="s">
        <v>1121</v>
      </c>
      <c r="H101" s="92"/>
    </row>
    <row r="102" spans="1:15" ht="30" customHeight="1">
      <c r="A102" s="92">
        <v>100</v>
      </c>
      <c r="B102" s="88" t="s">
        <v>933</v>
      </c>
      <c r="C102" s="75" t="s">
        <v>363</v>
      </c>
      <c r="D102" s="143">
        <v>195</v>
      </c>
      <c r="E102" s="183" t="s">
        <v>1738</v>
      </c>
      <c r="F102" s="141" t="s">
        <v>948</v>
      </c>
      <c r="G102" s="92" t="s">
        <v>1079</v>
      </c>
      <c r="H102" s="206" t="s">
        <v>1737</v>
      </c>
    </row>
    <row r="103" spans="1:15" ht="30" customHeight="1">
      <c r="A103" s="92">
        <v>101</v>
      </c>
      <c r="B103" s="74" t="s">
        <v>1055</v>
      </c>
      <c r="C103" s="87" t="s">
        <v>1063</v>
      </c>
      <c r="D103" s="160">
        <v>260</v>
      </c>
      <c r="E103" s="183" t="s">
        <v>1041</v>
      </c>
      <c r="F103" s="153" t="s">
        <v>1167</v>
      </c>
      <c r="G103" s="153" t="s">
        <v>1071</v>
      </c>
      <c r="H103" s="206" t="s">
        <v>1740</v>
      </c>
    </row>
    <row r="104" spans="1:15" ht="30" customHeight="1">
      <c r="A104" s="92">
        <v>102</v>
      </c>
      <c r="B104" s="74" t="s">
        <v>1056</v>
      </c>
      <c r="C104" s="87" t="s">
        <v>1063</v>
      </c>
      <c r="D104" s="160">
        <v>260</v>
      </c>
      <c r="E104" s="141" t="s">
        <v>1189</v>
      </c>
      <c r="F104" s="153" t="s">
        <v>1168</v>
      </c>
      <c r="G104" s="153" t="s">
        <v>1072</v>
      </c>
      <c r="H104" s="92" t="s">
        <v>748</v>
      </c>
    </row>
    <row r="105" spans="1:15" ht="30" customHeight="1">
      <c r="A105" s="92">
        <v>103</v>
      </c>
      <c r="B105" s="74" t="s">
        <v>1057</v>
      </c>
      <c r="C105" s="87" t="s">
        <v>1063</v>
      </c>
      <c r="D105" s="160">
        <v>260</v>
      </c>
      <c r="E105" s="191" t="s">
        <v>1679</v>
      </c>
      <c r="F105" s="153" t="s">
        <v>1123</v>
      </c>
      <c r="G105" s="153" t="s">
        <v>1073</v>
      </c>
      <c r="H105" s="92" t="s">
        <v>748</v>
      </c>
    </row>
    <row r="106" spans="1:15" ht="30" customHeight="1">
      <c r="A106" s="92">
        <v>104</v>
      </c>
      <c r="B106" s="74" t="s">
        <v>1058</v>
      </c>
      <c r="C106" s="87" t="s">
        <v>1063</v>
      </c>
      <c r="D106" s="160">
        <v>260</v>
      </c>
      <c r="E106" s="146" t="s">
        <v>16</v>
      </c>
      <c r="F106" s="153" t="s">
        <v>1124</v>
      </c>
      <c r="G106" s="153" t="s">
        <v>1074</v>
      </c>
      <c r="H106" s="92" t="s">
        <v>748</v>
      </c>
    </row>
    <row r="107" spans="1:15" ht="30" customHeight="1">
      <c r="A107" s="92">
        <v>105</v>
      </c>
      <c r="B107" s="74" t="s">
        <v>1059</v>
      </c>
      <c r="C107" s="87" t="s">
        <v>1063</v>
      </c>
      <c r="D107" s="160">
        <v>260</v>
      </c>
      <c r="E107" s="146" t="s">
        <v>1241</v>
      </c>
      <c r="F107" s="153" t="s">
        <v>1169</v>
      </c>
      <c r="G107" s="153" t="s">
        <v>1075</v>
      </c>
      <c r="H107" s="92" t="s">
        <v>748</v>
      </c>
      <c r="O107" s="178"/>
    </row>
    <row r="108" spans="1:15" ht="30" customHeight="1">
      <c r="A108" s="92">
        <v>106</v>
      </c>
      <c r="B108" s="74" t="s">
        <v>1060</v>
      </c>
      <c r="C108" s="87" t="s">
        <v>1063</v>
      </c>
      <c r="D108" s="160">
        <v>260</v>
      </c>
      <c r="E108" s="191" t="s">
        <v>1598</v>
      </c>
      <c r="F108" s="153" t="s">
        <v>1238</v>
      </c>
      <c r="G108" s="153" t="s">
        <v>1076</v>
      </c>
      <c r="H108" s="92" t="s">
        <v>748</v>
      </c>
      <c r="I108" s="122"/>
    </row>
    <row r="109" spans="1:15" ht="30" customHeight="1">
      <c r="A109" s="92">
        <v>107</v>
      </c>
      <c r="B109" s="74" t="s">
        <v>1061</v>
      </c>
      <c r="C109" s="87" t="s">
        <v>1063</v>
      </c>
      <c r="D109" s="160">
        <v>260</v>
      </c>
      <c r="E109" s="183" t="s">
        <v>16</v>
      </c>
      <c r="F109" s="153" t="s">
        <v>1166</v>
      </c>
      <c r="G109" s="153" t="s">
        <v>1077</v>
      </c>
      <c r="H109" s="206" t="s">
        <v>1659</v>
      </c>
    </row>
    <row r="110" spans="1:15" ht="30" customHeight="1">
      <c r="A110" s="92">
        <v>108</v>
      </c>
      <c r="B110" s="74" t="s">
        <v>1062</v>
      </c>
      <c r="C110" s="87" t="s">
        <v>1063</v>
      </c>
      <c r="D110" s="160">
        <v>260</v>
      </c>
      <c r="E110" s="183" t="s">
        <v>1591</v>
      </c>
      <c r="F110" s="153" t="s">
        <v>1137</v>
      </c>
      <c r="G110" s="153" t="s">
        <v>1078</v>
      </c>
      <c r="H110" s="92" t="s">
        <v>748</v>
      </c>
    </row>
    <row r="111" spans="1:15" ht="30" customHeight="1">
      <c r="A111" s="92">
        <v>109</v>
      </c>
      <c r="B111" s="74" t="s">
        <v>928</v>
      </c>
      <c r="C111" s="87" t="s">
        <v>1063</v>
      </c>
      <c r="D111" s="159">
        <v>195</v>
      </c>
      <c r="E111" s="191" t="s">
        <v>16</v>
      </c>
      <c r="F111" s="74" t="s">
        <v>943</v>
      </c>
      <c r="G111" s="153" t="s">
        <v>1154</v>
      </c>
      <c r="H111" s="92" t="s">
        <v>748</v>
      </c>
    </row>
    <row r="112" spans="1:15" ht="30" customHeight="1">
      <c r="A112" s="92">
        <v>110</v>
      </c>
      <c r="B112" s="88" t="s">
        <v>936</v>
      </c>
      <c r="C112" s="75" t="s">
        <v>363</v>
      </c>
      <c r="D112" s="143">
        <v>195</v>
      </c>
      <c r="E112" s="146" t="s">
        <v>1312</v>
      </c>
      <c r="F112" s="141" t="s">
        <v>951</v>
      </c>
      <c r="G112" s="153" t="s">
        <v>1150</v>
      </c>
      <c r="H112" s="92" t="s">
        <v>748</v>
      </c>
    </row>
    <row r="113" spans="1:8" ht="30" customHeight="1">
      <c r="A113" s="92">
        <v>111</v>
      </c>
      <c r="B113" s="88"/>
      <c r="C113" s="75"/>
      <c r="D113" s="143"/>
      <c r="E113" s="146" t="s">
        <v>1350</v>
      </c>
      <c r="F113" s="141"/>
      <c r="G113" s="153" t="s">
        <v>1277</v>
      </c>
      <c r="H113" s="92" t="s">
        <v>748</v>
      </c>
    </row>
    <row r="114" spans="1:8" ht="38.25">
      <c r="A114" s="92">
        <v>112</v>
      </c>
      <c r="B114" s="88"/>
      <c r="C114" s="75"/>
      <c r="D114" s="143"/>
      <c r="E114" s="191" t="s">
        <v>1687</v>
      </c>
      <c r="F114" s="141"/>
      <c r="G114" s="153" t="s">
        <v>1278</v>
      </c>
      <c r="H114" s="183" t="s">
        <v>1686</v>
      </c>
    </row>
    <row r="115" spans="1:8" ht="30" customHeight="1">
      <c r="A115" s="92">
        <v>113</v>
      </c>
      <c r="B115" s="88"/>
      <c r="C115" s="75"/>
      <c r="D115" s="143"/>
      <c r="E115" s="191" t="s">
        <v>16</v>
      </c>
      <c r="F115" s="141"/>
      <c r="G115" s="153" t="s">
        <v>1301</v>
      </c>
      <c r="H115" s="183" t="s">
        <v>1868</v>
      </c>
    </row>
    <row r="116" spans="1:8" ht="30" customHeight="1">
      <c r="A116" s="92">
        <v>114</v>
      </c>
      <c r="B116" s="88" t="s">
        <v>1249</v>
      </c>
      <c r="C116" s="87" t="s">
        <v>969</v>
      </c>
      <c r="D116" s="160">
        <v>260</v>
      </c>
      <c r="E116" s="146" t="s">
        <v>1250</v>
      </c>
      <c r="F116" s="141"/>
      <c r="G116" s="141" t="s">
        <v>1251</v>
      </c>
      <c r="H116" s="141" t="s">
        <v>748</v>
      </c>
    </row>
    <row r="117" spans="1:8" ht="30" customHeight="1">
      <c r="A117" s="92">
        <v>115</v>
      </c>
      <c r="B117" s="88"/>
      <c r="C117" s="87"/>
      <c r="D117" s="160"/>
      <c r="E117" s="146" t="s">
        <v>553</v>
      </c>
      <c r="F117" s="141"/>
      <c r="G117" s="141" t="s">
        <v>1276</v>
      </c>
      <c r="H117" s="141" t="s">
        <v>748</v>
      </c>
    </row>
    <row r="118" spans="1:8" ht="30" customHeight="1">
      <c r="A118" s="92">
        <v>116</v>
      </c>
      <c r="B118" s="88" t="s">
        <v>1246</v>
      </c>
      <c r="C118" s="87" t="s">
        <v>969</v>
      </c>
      <c r="D118" s="160">
        <v>260</v>
      </c>
      <c r="E118" s="191" t="s">
        <v>16</v>
      </c>
      <c r="F118" s="141"/>
      <c r="G118" s="141" t="s">
        <v>1247</v>
      </c>
      <c r="H118" s="183" t="s">
        <v>1686</v>
      </c>
    </row>
    <row r="119" spans="1:8" ht="30" customHeight="1">
      <c r="A119" s="92">
        <v>117</v>
      </c>
      <c r="B119" s="88"/>
      <c r="C119" s="75"/>
      <c r="D119" s="160"/>
      <c r="E119" s="191" t="s">
        <v>1402</v>
      </c>
      <c r="F119" s="141"/>
      <c r="G119" s="141" t="s">
        <v>1274</v>
      </c>
      <c r="H119" s="141"/>
    </row>
    <row r="120" spans="1:8" ht="30" customHeight="1">
      <c r="A120" s="92">
        <v>118</v>
      </c>
      <c r="B120" s="88"/>
      <c r="C120" s="75"/>
      <c r="D120" s="160"/>
      <c r="E120" s="146"/>
      <c r="F120" s="141"/>
      <c r="G120" s="141" t="s">
        <v>1275</v>
      </c>
      <c r="H120" s="141"/>
    </row>
    <row r="121" spans="1:8" ht="30" customHeight="1">
      <c r="A121" s="92">
        <v>119</v>
      </c>
      <c r="B121" s="88" t="s">
        <v>640</v>
      </c>
      <c r="C121" s="88" t="s">
        <v>363</v>
      </c>
      <c r="D121" s="143">
        <v>311.5</v>
      </c>
      <c r="E121" s="191" t="s">
        <v>16</v>
      </c>
      <c r="F121" s="141" t="s">
        <v>641</v>
      </c>
      <c r="G121" s="141" t="s">
        <v>1244</v>
      </c>
      <c r="H121" s="183" t="s">
        <v>1675</v>
      </c>
    </row>
    <row r="122" spans="1:8" ht="30" customHeight="1">
      <c r="A122" s="92">
        <v>120</v>
      </c>
      <c r="B122" s="88" t="s">
        <v>1254</v>
      </c>
      <c r="C122" s="88" t="s">
        <v>363</v>
      </c>
      <c r="D122" s="159">
        <v>195</v>
      </c>
      <c r="E122" s="146" t="s">
        <v>16</v>
      </c>
      <c r="F122" s="140" t="s">
        <v>1264</v>
      </c>
      <c r="G122" s="141" t="s">
        <v>1322</v>
      </c>
      <c r="H122" s="141" t="s">
        <v>748</v>
      </c>
    </row>
    <row r="123" spans="1:8" ht="30" customHeight="1">
      <c r="A123" s="92">
        <v>121</v>
      </c>
      <c r="B123" s="88" t="s">
        <v>1255</v>
      </c>
      <c r="C123" s="88" t="s">
        <v>363</v>
      </c>
      <c r="D123" s="159">
        <v>195</v>
      </c>
      <c r="E123" s="146" t="s">
        <v>16</v>
      </c>
      <c r="F123" s="140" t="s">
        <v>1265</v>
      </c>
      <c r="G123" s="141" t="s">
        <v>1374</v>
      </c>
      <c r="H123" s="141" t="s">
        <v>748</v>
      </c>
    </row>
    <row r="124" spans="1:8" ht="30" customHeight="1">
      <c r="A124" s="92">
        <v>122</v>
      </c>
      <c r="B124" s="88" t="s">
        <v>1256</v>
      </c>
      <c r="C124" s="88" t="s">
        <v>363</v>
      </c>
      <c r="D124" s="159">
        <v>195</v>
      </c>
      <c r="E124" s="146" t="s">
        <v>16</v>
      </c>
      <c r="F124" s="140" t="s">
        <v>1266</v>
      </c>
      <c r="G124" s="141" t="s">
        <v>1375</v>
      </c>
      <c r="H124" s="141" t="s">
        <v>748</v>
      </c>
    </row>
    <row r="125" spans="1:8" ht="30" customHeight="1">
      <c r="A125" s="92">
        <v>123</v>
      </c>
      <c r="B125" s="88" t="s">
        <v>1257</v>
      </c>
      <c r="C125" s="88" t="s">
        <v>363</v>
      </c>
      <c r="D125" s="159">
        <v>195</v>
      </c>
      <c r="E125" s="146" t="s">
        <v>16</v>
      </c>
      <c r="F125" s="140" t="s">
        <v>1267</v>
      </c>
      <c r="G125" s="141" t="s">
        <v>1376</v>
      </c>
      <c r="H125" s="141" t="s">
        <v>748</v>
      </c>
    </row>
    <row r="126" spans="1:8" ht="30" customHeight="1">
      <c r="A126" s="92">
        <v>124</v>
      </c>
      <c r="B126" s="88" t="s">
        <v>1258</v>
      </c>
      <c r="C126" s="88" t="s">
        <v>363</v>
      </c>
      <c r="D126" s="159">
        <v>195</v>
      </c>
      <c r="E126" s="146" t="s">
        <v>1373</v>
      </c>
      <c r="F126" s="140" t="s">
        <v>1268</v>
      </c>
      <c r="G126" s="141" t="s">
        <v>1377</v>
      </c>
      <c r="H126" s="141" t="s">
        <v>748</v>
      </c>
    </row>
    <row r="127" spans="1:8" ht="30" customHeight="1">
      <c r="A127" s="92">
        <v>125</v>
      </c>
      <c r="B127" s="88" t="s">
        <v>1259</v>
      </c>
      <c r="C127" s="88" t="s">
        <v>363</v>
      </c>
      <c r="D127" s="159">
        <v>195</v>
      </c>
      <c r="E127" s="191" t="s">
        <v>16</v>
      </c>
      <c r="F127" s="140" t="s">
        <v>1269</v>
      </c>
      <c r="G127" s="141" t="s">
        <v>1378</v>
      </c>
      <c r="H127" s="183" t="s">
        <v>1675</v>
      </c>
    </row>
    <row r="128" spans="1:8" ht="30" customHeight="1">
      <c r="A128" s="92">
        <v>126</v>
      </c>
      <c r="B128" s="88" t="s">
        <v>1260</v>
      </c>
      <c r="C128" s="88" t="s">
        <v>363</v>
      </c>
      <c r="D128" s="159">
        <v>195</v>
      </c>
      <c r="E128" s="191" t="s">
        <v>16</v>
      </c>
      <c r="F128" s="140" t="s">
        <v>1270</v>
      </c>
      <c r="G128" s="141" t="s">
        <v>1379</v>
      </c>
      <c r="H128" s="183" t="s">
        <v>1871</v>
      </c>
    </row>
    <row r="129" spans="1:8" ht="30" customHeight="1">
      <c r="A129" s="92">
        <v>127</v>
      </c>
      <c r="B129" s="88" t="s">
        <v>1261</v>
      </c>
      <c r="C129" s="88" t="s">
        <v>363</v>
      </c>
      <c r="D129" s="159">
        <v>195</v>
      </c>
      <c r="E129" s="191" t="s">
        <v>1389</v>
      </c>
      <c r="F129" s="140" t="s">
        <v>1271</v>
      </c>
      <c r="G129" s="141" t="s">
        <v>1380</v>
      </c>
      <c r="H129" s="141" t="s">
        <v>748</v>
      </c>
    </row>
    <row r="130" spans="1:8" ht="30" customHeight="1">
      <c r="A130" s="92">
        <v>128</v>
      </c>
      <c r="B130" s="88" t="s">
        <v>1262</v>
      </c>
      <c r="C130" s="88" t="s">
        <v>363</v>
      </c>
      <c r="D130" s="159">
        <v>195</v>
      </c>
      <c r="E130" s="191" t="s">
        <v>1401</v>
      </c>
      <c r="F130" s="140" t="s">
        <v>1272</v>
      </c>
      <c r="G130" s="141" t="s">
        <v>1381</v>
      </c>
      <c r="H130" s="141" t="s">
        <v>748</v>
      </c>
    </row>
    <row r="131" spans="1:8" ht="30" customHeight="1">
      <c r="A131" s="92">
        <v>129</v>
      </c>
      <c r="B131" s="88" t="s">
        <v>1263</v>
      </c>
      <c r="C131" s="88" t="s">
        <v>363</v>
      </c>
      <c r="D131" s="159">
        <v>195</v>
      </c>
      <c r="E131" s="146" t="s">
        <v>16</v>
      </c>
      <c r="F131" s="140" t="s">
        <v>1273</v>
      </c>
      <c r="G131" s="141" t="s">
        <v>1382</v>
      </c>
      <c r="H131" s="141" t="s">
        <v>748</v>
      </c>
    </row>
    <row r="133" spans="1:8" ht="30" customHeight="1">
      <c r="A133" s="92">
        <v>1</v>
      </c>
      <c r="B133" s="88"/>
      <c r="C133" s="88" t="s">
        <v>1351</v>
      </c>
      <c r="D133" s="159"/>
      <c r="E133" s="146" t="s">
        <v>1352</v>
      </c>
      <c r="F133" s="140"/>
      <c r="G133" s="92" t="s">
        <v>1351</v>
      </c>
      <c r="H133" s="141" t="s">
        <v>748</v>
      </c>
    </row>
    <row r="136" spans="1:8" ht="30" customHeight="1">
      <c r="A136" s="92">
        <v>1</v>
      </c>
      <c r="B136" s="88"/>
      <c r="C136" s="212" t="s">
        <v>1748</v>
      </c>
      <c r="D136" s="159"/>
      <c r="E136" s="146" t="s">
        <v>1319</v>
      </c>
      <c r="F136" s="140"/>
      <c r="G136" s="183" t="s">
        <v>1748</v>
      </c>
      <c r="H136" s="141" t="s">
        <v>748</v>
      </c>
    </row>
    <row r="137" spans="1:8" ht="30" customHeight="1">
      <c r="A137" s="92">
        <v>2</v>
      </c>
      <c r="B137" s="88"/>
      <c r="C137" s="212" t="s">
        <v>1813</v>
      </c>
      <c r="D137" s="159"/>
      <c r="E137" s="191" t="s">
        <v>16</v>
      </c>
      <c r="F137" s="140"/>
      <c r="G137" s="183" t="s">
        <v>1813</v>
      </c>
      <c r="H137" s="183" t="s">
        <v>1829</v>
      </c>
    </row>
    <row r="138" spans="1:8" ht="30" customHeight="1">
      <c r="A138" s="92">
        <v>3</v>
      </c>
      <c r="B138" s="88"/>
      <c r="C138" s="212" t="s">
        <v>1756</v>
      </c>
      <c r="D138" s="159"/>
      <c r="E138" s="191" t="s">
        <v>16</v>
      </c>
      <c r="F138" s="140"/>
      <c r="G138" s="183" t="s">
        <v>1756</v>
      </c>
      <c r="H138" s="183" t="s">
        <v>1842</v>
      </c>
    </row>
    <row r="139" spans="1:8" ht="30" customHeight="1">
      <c r="A139" s="92">
        <v>4</v>
      </c>
      <c r="B139" s="88"/>
      <c r="C139" s="212" t="s">
        <v>1747</v>
      </c>
      <c r="D139" s="159"/>
      <c r="E139" s="191" t="s">
        <v>1806</v>
      </c>
      <c r="F139" s="140"/>
      <c r="G139" s="206" t="s">
        <v>1747</v>
      </c>
      <c r="H139" s="183" t="s">
        <v>1807</v>
      </c>
    </row>
    <row r="140" spans="1:8" ht="30" customHeight="1">
      <c r="A140" s="92">
        <v>5</v>
      </c>
      <c r="B140" s="88"/>
      <c r="C140" s="212" t="s">
        <v>1749</v>
      </c>
      <c r="D140" s="159"/>
      <c r="E140" s="191" t="s">
        <v>1754</v>
      </c>
      <c r="F140" s="140"/>
      <c r="G140" s="183" t="s">
        <v>1749</v>
      </c>
      <c r="H140" s="183" t="s">
        <v>1755</v>
      </c>
    </row>
    <row r="141" spans="1:8" ht="30" customHeight="1">
      <c r="A141" s="92">
        <v>6</v>
      </c>
      <c r="B141" s="88"/>
      <c r="C141" s="212" t="s">
        <v>1750</v>
      </c>
      <c r="D141" s="159"/>
      <c r="E141" s="191" t="s">
        <v>1398</v>
      </c>
      <c r="F141" s="140"/>
      <c r="G141" s="183" t="s">
        <v>1750</v>
      </c>
      <c r="H141" s="141" t="s">
        <v>748</v>
      </c>
    </row>
    <row r="142" spans="1:8" ht="30" customHeight="1">
      <c r="A142" s="92">
        <v>7</v>
      </c>
      <c r="B142" s="88"/>
      <c r="C142" s="212" t="s">
        <v>1751</v>
      </c>
      <c r="D142" s="159"/>
      <c r="E142" s="191" t="s">
        <v>1691</v>
      </c>
      <c r="F142" s="140"/>
      <c r="G142" s="183" t="s">
        <v>1751</v>
      </c>
      <c r="H142" s="183" t="s">
        <v>1692</v>
      </c>
    </row>
    <row r="143" spans="1:8" ht="30" customHeight="1">
      <c r="A143" s="92">
        <v>8</v>
      </c>
      <c r="B143" s="88"/>
      <c r="C143" s="212" t="s">
        <v>1752</v>
      </c>
      <c r="D143" s="159"/>
      <c r="E143" s="191" t="s">
        <v>1441</v>
      </c>
      <c r="F143" s="140"/>
      <c r="G143" s="183" t="s">
        <v>1752</v>
      </c>
      <c r="H143" s="141" t="s">
        <v>748</v>
      </c>
    </row>
    <row r="144" spans="1:8" ht="30" customHeight="1">
      <c r="A144" s="92">
        <v>9</v>
      </c>
      <c r="B144" s="88"/>
      <c r="C144" s="212" t="s">
        <v>1498</v>
      </c>
      <c r="D144" s="159"/>
      <c r="E144" s="191" t="s">
        <v>1497</v>
      </c>
      <c r="F144" s="140"/>
      <c r="G144" s="183" t="s">
        <v>1498</v>
      </c>
      <c r="H144" s="141" t="s">
        <v>748</v>
      </c>
    </row>
    <row r="145" spans="1:8" ht="30" customHeight="1">
      <c r="A145" s="92">
        <v>10</v>
      </c>
      <c r="B145" s="88"/>
      <c r="C145" s="212" t="s">
        <v>1496</v>
      </c>
      <c r="D145" s="159"/>
      <c r="E145" s="191" t="s">
        <v>1875</v>
      </c>
      <c r="F145" s="140"/>
      <c r="G145" s="183" t="s">
        <v>1496</v>
      </c>
      <c r="H145" s="183" t="s">
        <v>1871</v>
      </c>
    </row>
    <row r="146" spans="1:8" ht="30" customHeight="1">
      <c r="A146" s="92">
        <v>11</v>
      </c>
      <c r="B146" s="88"/>
      <c r="C146" s="212" t="s">
        <v>1573</v>
      </c>
      <c r="D146" s="325"/>
      <c r="E146" s="191" t="s">
        <v>1574</v>
      </c>
      <c r="F146" s="140"/>
      <c r="G146" s="183" t="s">
        <v>1573</v>
      </c>
      <c r="H146" s="141" t="s">
        <v>748</v>
      </c>
    </row>
    <row r="147" spans="1:8" ht="30" customHeight="1">
      <c r="A147" s="92">
        <v>12</v>
      </c>
      <c r="B147" s="88"/>
      <c r="C147" s="212" t="s">
        <v>1550</v>
      </c>
      <c r="D147" s="159"/>
      <c r="E147" s="191" t="s">
        <v>1549</v>
      </c>
      <c r="F147" s="140"/>
      <c r="G147" s="183" t="s">
        <v>1550</v>
      </c>
      <c r="H147" s="141" t="s">
        <v>748</v>
      </c>
    </row>
    <row r="148" spans="1:8" ht="30" customHeight="1">
      <c r="A148" s="92">
        <v>13</v>
      </c>
      <c r="B148" s="88"/>
      <c r="C148" s="212" t="s">
        <v>1594</v>
      </c>
      <c r="D148" s="325"/>
      <c r="E148" s="191" t="s">
        <v>1595</v>
      </c>
      <c r="F148" s="140"/>
      <c r="G148" s="183" t="s">
        <v>1594</v>
      </c>
      <c r="H148" s="141" t="s">
        <v>748</v>
      </c>
    </row>
    <row r="149" spans="1:8" ht="30" customHeight="1">
      <c r="A149" s="92">
        <v>14</v>
      </c>
      <c r="B149" s="88"/>
      <c r="C149" s="212" t="s">
        <v>1593</v>
      </c>
      <c r="D149" s="325"/>
      <c r="E149" s="191" t="s">
        <v>1656</v>
      </c>
      <c r="F149" s="140"/>
      <c r="G149" s="183" t="s">
        <v>1593</v>
      </c>
      <c r="H149" s="141" t="s">
        <v>748</v>
      </c>
    </row>
    <row r="150" spans="1:8" ht="30" customHeight="1">
      <c r="A150" s="92">
        <v>15</v>
      </c>
      <c r="B150" s="88"/>
      <c r="C150" s="212" t="s">
        <v>1603</v>
      </c>
      <c r="D150" s="325"/>
      <c r="E150" s="191" t="s">
        <v>16</v>
      </c>
      <c r="F150" s="140"/>
      <c r="G150" s="183" t="s">
        <v>1603</v>
      </c>
      <c r="H150" s="183" t="s">
        <v>1941</v>
      </c>
    </row>
    <row r="151" spans="1:8" ht="30" customHeight="1">
      <c r="A151" s="92">
        <v>16</v>
      </c>
      <c r="B151" s="88"/>
      <c r="C151" s="212" t="s">
        <v>1562</v>
      </c>
      <c r="D151" s="159"/>
      <c r="E151" s="191" t="s">
        <v>1561</v>
      </c>
      <c r="F151" s="140"/>
      <c r="G151" s="183" t="s">
        <v>1562</v>
      </c>
      <c r="H151" s="141" t="s">
        <v>748</v>
      </c>
    </row>
    <row r="152" spans="1:8" ht="30" customHeight="1">
      <c r="A152" s="92">
        <v>17</v>
      </c>
      <c r="B152" s="88"/>
      <c r="C152" s="212" t="s">
        <v>1592</v>
      </c>
      <c r="D152" s="325"/>
      <c r="E152" s="191" t="s">
        <v>1597</v>
      </c>
      <c r="F152" s="140"/>
      <c r="G152" s="183" t="s">
        <v>1592</v>
      </c>
      <c r="H152" s="141" t="s">
        <v>748</v>
      </c>
    </row>
    <row r="153" spans="1:8" ht="30" customHeight="1">
      <c r="A153" s="92">
        <v>18</v>
      </c>
      <c r="B153" s="88"/>
      <c r="C153" s="212" t="s">
        <v>1668</v>
      </c>
      <c r="D153" s="325"/>
      <c r="E153" s="191" t="s">
        <v>1869</v>
      </c>
      <c r="F153" s="140"/>
      <c r="G153" s="183" t="s">
        <v>1668</v>
      </c>
      <c r="H153" s="183" t="s">
        <v>1868</v>
      </c>
    </row>
    <row r="154" spans="1:8" ht="30" customHeight="1">
      <c r="A154" s="92">
        <v>19</v>
      </c>
      <c r="B154" s="88"/>
      <c r="C154" s="212" t="s">
        <v>1583</v>
      </c>
      <c r="D154" s="325"/>
      <c r="E154" s="191" t="s">
        <v>1892</v>
      </c>
      <c r="F154" s="140"/>
      <c r="G154" s="183" t="s">
        <v>1583</v>
      </c>
      <c r="H154" s="183" t="s">
        <v>1893</v>
      </c>
    </row>
    <row r="155" spans="1:8" ht="30" customHeight="1">
      <c r="A155" s="92">
        <v>20</v>
      </c>
      <c r="B155" s="88"/>
      <c r="C155" s="212" t="s">
        <v>1585</v>
      </c>
      <c r="D155" s="325"/>
      <c r="E155" s="191" t="s">
        <v>1574</v>
      </c>
      <c r="F155" s="140"/>
      <c r="G155" s="183" t="s">
        <v>1585</v>
      </c>
      <c r="H155" s="141" t="s">
        <v>748</v>
      </c>
    </row>
    <row r="156" spans="1:8" ht="30" customHeight="1">
      <c r="A156" s="92">
        <v>21</v>
      </c>
      <c r="B156" s="88"/>
      <c r="C156" s="212" t="s">
        <v>1582</v>
      </c>
      <c r="D156" s="325"/>
      <c r="E156" s="191" t="s">
        <v>1584</v>
      </c>
      <c r="F156" s="140"/>
      <c r="G156" s="183" t="s">
        <v>1582</v>
      </c>
      <c r="H156" s="141" t="s">
        <v>748</v>
      </c>
    </row>
    <row r="157" spans="1:8" ht="30" customHeight="1">
      <c r="A157" s="92">
        <v>22</v>
      </c>
      <c r="B157" s="88"/>
      <c r="C157" s="212" t="s">
        <v>1621</v>
      </c>
      <c r="D157" s="325"/>
      <c r="E157" s="191" t="s">
        <v>16</v>
      </c>
      <c r="F157" s="140"/>
      <c r="G157" s="183" t="s">
        <v>1621</v>
      </c>
      <c r="H157" s="183" t="s">
        <v>1871</v>
      </c>
    </row>
    <row r="158" spans="1:8" ht="30" customHeight="1">
      <c r="A158" s="92">
        <v>23</v>
      </c>
      <c r="B158" s="88"/>
      <c r="C158" s="212" t="s">
        <v>1589</v>
      </c>
      <c r="D158" s="325"/>
      <c r="E158" s="191" t="s">
        <v>1590</v>
      </c>
      <c r="F158" s="140"/>
      <c r="G158" s="183" t="s">
        <v>1589</v>
      </c>
      <c r="H158" s="141" t="s">
        <v>748</v>
      </c>
    </row>
    <row r="159" spans="1:8" ht="30" customHeight="1">
      <c r="A159" s="92">
        <v>24</v>
      </c>
      <c r="B159" s="88"/>
      <c r="C159" s="212" t="s">
        <v>1636</v>
      </c>
      <c r="D159" s="325"/>
      <c r="E159" s="191" t="s">
        <v>1634</v>
      </c>
      <c r="F159" s="140"/>
      <c r="G159" s="183" t="s">
        <v>1636</v>
      </c>
      <c r="H159" s="141" t="s">
        <v>748</v>
      </c>
    </row>
    <row r="160" spans="1:8" ht="30" customHeight="1">
      <c r="A160" s="92">
        <v>25</v>
      </c>
      <c r="B160" s="88"/>
      <c r="C160" s="212" t="s">
        <v>1631</v>
      </c>
      <c r="D160" s="325"/>
      <c r="E160" s="191" t="s">
        <v>1878</v>
      </c>
      <c r="F160" s="140"/>
      <c r="G160" s="183" t="s">
        <v>1631</v>
      </c>
      <c r="H160" s="183" t="s">
        <v>1753</v>
      </c>
    </row>
    <row r="161" spans="1:8" ht="30" customHeight="1">
      <c r="A161" s="92">
        <v>26</v>
      </c>
      <c r="B161" s="88"/>
      <c r="C161" s="212" t="s">
        <v>1838</v>
      </c>
      <c r="D161" s="325"/>
      <c r="E161" s="191" t="s">
        <v>16</v>
      </c>
      <c r="F161" s="140"/>
      <c r="G161" s="183" t="s">
        <v>1838</v>
      </c>
      <c r="H161" s="183" t="s">
        <v>1867</v>
      </c>
    </row>
    <row r="162" spans="1:8" ht="30" customHeight="1">
      <c r="A162" s="92">
        <v>27</v>
      </c>
      <c r="B162" s="88"/>
      <c r="C162" s="212" t="s">
        <v>1599</v>
      </c>
      <c r="D162" s="325"/>
      <c r="E162" s="191" t="s">
        <v>16</v>
      </c>
      <c r="F162" s="140"/>
      <c r="G162" s="183" t="s">
        <v>1599</v>
      </c>
      <c r="H162" s="183" t="s">
        <v>1734</v>
      </c>
    </row>
    <row r="163" spans="1:8" ht="30" customHeight="1">
      <c r="A163" s="92">
        <v>28</v>
      </c>
      <c r="B163" s="88"/>
      <c r="C163" s="212" t="s">
        <v>1600</v>
      </c>
      <c r="D163" s="325"/>
      <c r="E163" s="191" t="s">
        <v>16</v>
      </c>
      <c r="F163" s="140"/>
      <c r="G163" s="183" t="s">
        <v>1600</v>
      </c>
      <c r="H163" s="183" t="s">
        <v>1734</v>
      </c>
    </row>
    <row r="164" spans="1:8" ht="30" customHeight="1">
      <c r="A164" s="92">
        <v>29</v>
      </c>
      <c r="B164" s="88"/>
      <c r="C164" s="212" t="s">
        <v>1601</v>
      </c>
      <c r="D164" s="325"/>
      <c r="E164" s="191" t="s">
        <v>16</v>
      </c>
      <c r="F164" s="140"/>
      <c r="G164" s="183" t="s">
        <v>1601</v>
      </c>
      <c r="H164" s="183" t="s">
        <v>1734</v>
      </c>
    </row>
    <row r="165" spans="1:8" ht="30" customHeight="1">
      <c r="A165" s="92">
        <v>30</v>
      </c>
      <c r="B165" s="88"/>
      <c r="C165" s="212" t="s">
        <v>1588</v>
      </c>
      <c r="D165" s="325"/>
      <c r="E165" s="191" t="s">
        <v>1587</v>
      </c>
      <c r="F165" s="140"/>
      <c r="G165" s="183" t="s">
        <v>1588</v>
      </c>
      <c r="H165" s="141" t="s">
        <v>748</v>
      </c>
    </row>
    <row r="166" spans="1:8" ht="30" customHeight="1">
      <c r="A166" s="92">
        <v>31</v>
      </c>
      <c r="B166" s="88"/>
      <c r="C166" s="212" t="s">
        <v>1835</v>
      </c>
      <c r="D166" s="325"/>
      <c r="E166" s="191" t="s">
        <v>1843</v>
      </c>
      <c r="F166" s="140"/>
      <c r="G166" s="183" t="s">
        <v>1835</v>
      </c>
      <c r="H166" s="183" t="s">
        <v>1844</v>
      </c>
    </row>
    <row r="167" spans="1:8" ht="30" customHeight="1">
      <c r="A167" s="92">
        <v>32</v>
      </c>
      <c r="B167" s="88"/>
      <c r="C167" s="212" t="s">
        <v>1831</v>
      </c>
      <c r="D167" s="325"/>
      <c r="E167" s="191" t="s">
        <v>16</v>
      </c>
      <c r="F167" s="140"/>
      <c r="G167" s="183" t="s">
        <v>1831</v>
      </c>
      <c r="H167" s="183" t="s">
        <v>1830</v>
      </c>
    </row>
    <row r="168" spans="1:8" ht="30" customHeight="1">
      <c r="A168" s="92">
        <v>33</v>
      </c>
      <c r="B168" s="88"/>
      <c r="C168" s="212" t="s">
        <v>1658</v>
      </c>
      <c r="D168" s="325"/>
      <c r="E168" s="191" t="s">
        <v>1309</v>
      </c>
      <c r="F168" s="140"/>
      <c r="G168" s="183" t="s">
        <v>1658</v>
      </c>
      <c r="H168" s="183" t="s">
        <v>1659</v>
      </c>
    </row>
    <row r="169" spans="1:8" ht="30" customHeight="1">
      <c r="A169" s="92">
        <v>34</v>
      </c>
      <c r="B169" s="88"/>
      <c r="C169" s="212" t="s">
        <v>1676</v>
      </c>
      <c r="D169" s="325"/>
      <c r="E169" s="191" t="s">
        <v>1677</v>
      </c>
      <c r="F169" s="140"/>
      <c r="G169" s="183" t="s">
        <v>1676</v>
      </c>
      <c r="H169" s="183" t="s">
        <v>1678</v>
      </c>
    </row>
    <row r="170" spans="1:8" ht="30" customHeight="1">
      <c r="A170" s="92">
        <v>35</v>
      </c>
      <c r="B170" s="88"/>
      <c r="C170" s="212" t="s">
        <v>1689</v>
      </c>
      <c r="D170" s="325"/>
      <c r="E170" s="191" t="s">
        <v>1846</v>
      </c>
      <c r="F170" s="140"/>
      <c r="G170" s="183" t="s">
        <v>1689</v>
      </c>
      <c r="H170" s="183" t="s">
        <v>1847</v>
      </c>
    </row>
    <row r="171" spans="1:8" ht="30" customHeight="1">
      <c r="A171" s="92">
        <v>36</v>
      </c>
      <c r="B171" s="88"/>
      <c r="C171" s="212" t="s">
        <v>1682</v>
      </c>
      <c r="D171" s="325"/>
      <c r="E171" s="191" t="s">
        <v>1683</v>
      </c>
      <c r="F171" s="140"/>
      <c r="G171" s="183" t="s">
        <v>1682</v>
      </c>
      <c r="H171" s="183" t="s">
        <v>1684</v>
      </c>
    </row>
    <row r="172" spans="1:8" ht="30" customHeight="1">
      <c r="A172" s="92">
        <v>37</v>
      </c>
      <c r="B172" s="88"/>
      <c r="C172" s="212" t="s">
        <v>1633</v>
      </c>
      <c r="D172" s="325"/>
      <c r="E172" s="191" t="s">
        <v>1833</v>
      </c>
      <c r="F172" s="140"/>
      <c r="G172" s="183" t="s">
        <v>1633</v>
      </c>
      <c r="H172" s="183" t="s">
        <v>1834</v>
      </c>
    </row>
    <row r="173" spans="1:8" ht="30" customHeight="1">
      <c r="A173" s="92">
        <v>38</v>
      </c>
      <c r="B173" s="88"/>
      <c r="C173" s="212" t="s">
        <v>1661</v>
      </c>
      <c r="D173" s="325"/>
      <c r="E173" s="191" t="s">
        <v>1662</v>
      </c>
      <c r="F173" s="140"/>
      <c r="G173" s="183" t="s">
        <v>1661</v>
      </c>
      <c r="H173" s="183" t="s">
        <v>1660</v>
      </c>
    </row>
    <row r="174" spans="1:8" ht="30" customHeight="1">
      <c r="A174" s="92">
        <v>39</v>
      </c>
      <c r="B174" s="88"/>
      <c r="C174" s="212" t="s">
        <v>1602</v>
      </c>
      <c r="D174" s="325"/>
      <c r="E174" s="191" t="s">
        <v>1904</v>
      </c>
      <c r="F174" s="140"/>
      <c r="G174" s="183" t="s">
        <v>1602</v>
      </c>
      <c r="H174" s="183" t="s">
        <v>1903</v>
      </c>
    </row>
    <row r="175" spans="1:8" ht="30" customHeight="1">
      <c r="A175" s="92">
        <v>40</v>
      </c>
      <c r="B175" s="88"/>
      <c r="C175" s="212" t="s">
        <v>1815</v>
      </c>
      <c r="D175" s="325"/>
      <c r="E175" s="191" t="s">
        <v>1816</v>
      </c>
      <c r="F175" s="140"/>
      <c r="G175" s="183" t="s">
        <v>1815</v>
      </c>
      <c r="H175" s="183" t="s">
        <v>1814</v>
      </c>
    </row>
    <row r="177" spans="1:8" ht="30" customHeight="1">
      <c r="A177" s="76" t="s">
        <v>901</v>
      </c>
      <c r="B177" s="86"/>
      <c r="C177" s="83"/>
      <c r="D177" s="76"/>
      <c r="E177" s="144">
        <v>43563</v>
      </c>
      <c r="F177" s="139"/>
      <c r="G177" s="139"/>
      <c r="H177" s="139"/>
    </row>
    <row r="178" spans="1:8" ht="30" customHeight="1">
      <c r="A178" s="78" t="s">
        <v>261</v>
      </c>
      <c r="B178" s="142" t="s">
        <v>1</v>
      </c>
      <c r="C178" s="142" t="s">
        <v>0</v>
      </c>
      <c r="D178" s="142" t="s">
        <v>206</v>
      </c>
      <c r="E178" s="145" t="s">
        <v>2</v>
      </c>
      <c r="F178" s="142" t="s">
        <v>483</v>
      </c>
      <c r="G178" s="142" t="s">
        <v>750</v>
      </c>
      <c r="H178" s="142" t="s">
        <v>5</v>
      </c>
    </row>
    <row r="179" spans="1:8" ht="30" customHeight="1">
      <c r="A179" s="92">
        <v>1</v>
      </c>
      <c r="B179" s="88" t="s">
        <v>365</v>
      </c>
      <c r="C179" s="88" t="s">
        <v>363</v>
      </c>
      <c r="D179" s="143">
        <v>310</v>
      </c>
      <c r="E179" s="146" t="s">
        <v>611</v>
      </c>
      <c r="F179" s="141" t="s">
        <v>10</v>
      </c>
      <c r="G179" s="141"/>
      <c r="H179" s="141"/>
    </row>
    <row r="180" spans="1:8" ht="30" customHeight="1">
      <c r="A180" s="92">
        <v>2</v>
      </c>
      <c r="B180" s="88" t="s">
        <v>364</v>
      </c>
      <c r="C180" s="88" t="s">
        <v>363</v>
      </c>
      <c r="D180" s="143">
        <v>310</v>
      </c>
      <c r="E180" s="146" t="s">
        <v>611</v>
      </c>
      <c r="F180" s="141" t="s">
        <v>10</v>
      </c>
      <c r="G180" s="141"/>
      <c r="H180" s="141"/>
    </row>
    <row r="181" spans="1:8" ht="30" customHeight="1">
      <c r="A181" s="92">
        <v>3</v>
      </c>
      <c r="B181" s="88" t="s">
        <v>362</v>
      </c>
      <c r="C181" s="88" t="s">
        <v>363</v>
      </c>
      <c r="D181" s="143">
        <v>310</v>
      </c>
      <c r="E181" s="146" t="s">
        <v>611</v>
      </c>
      <c r="F181" s="141" t="s">
        <v>10</v>
      </c>
      <c r="G181" s="141"/>
      <c r="H181" s="141"/>
    </row>
    <row r="182" spans="1:8" ht="30" customHeight="1">
      <c r="A182" s="92">
        <v>4</v>
      </c>
      <c r="B182" s="88" t="s">
        <v>1067</v>
      </c>
      <c r="C182" s="88" t="s">
        <v>1063</v>
      </c>
      <c r="D182" s="143">
        <v>260</v>
      </c>
      <c r="E182" s="146" t="s">
        <v>1065</v>
      </c>
      <c r="F182" s="141" t="s">
        <v>1068</v>
      </c>
      <c r="G182" s="141" t="s">
        <v>1070</v>
      </c>
      <c r="H182" s="141"/>
    </row>
    <row r="183" spans="1:8" ht="30" customHeight="1">
      <c r="A183" s="92">
        <v>5</v>
      </c>
      <c r="B183" s="88" t="s">
        <v>1064</v>
      </c>
      <c r="C183" s="88" t="s">
        <v>1063</v>
      </c>
      <c r="D183" s="143">
        <v>260</v>
      </c>
      <c r="E183" s="146" t="s">
        <v>1065</v>
      </c>
      <c r="F183" s="141" t="s">
        <v>1069</v>
      </c>
      <c r="G183" s="141" t="s">
        <v>1066</v>
      </c>
      <c r="H183" s="141"/>
    </row>
  </sheetData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9" tint="0.39997558519241921"/>
  </sheetPr>
  <dimension ref="A1:K119"/>
  <sheetViews>
    <sheetView topLeftCell="A91" zoomScale="115" zoomScaleNormal="115" workbookViewId="0">
      <selection activeCell="J98" sqref="J98"/>
    </sheetView>
  </sheetViews>
  <sheetFormatPr defaultColWidth="9.140625" defaultRowHeight="19.899999999999999" customHeight="1"/>
  <cols>
    <col min="1" max="1" width="5.7109375" style="73" customWidth="1"/>
    <col min="2" max="2" width="31" style="73" customWidth="1"/>
    <col min="3" max="3" width="13.42578125" style="73" customWidth="1"/>
    <col min="4" max="4" width="12.85546875" style="73" customWidth="1"/>
    <col min="5" max="5" width="12.5703125" style="111" customWidth="1"/>
    <col min="6" max="6" width="52.85546875" style="73" customWidth="1"/>
    <col min="7" max="7" width="22" style="73" customWidth="1"/>
    <col min="8" max="8" width="21.42578125" style="73" bestFit="1" customWidth="1"/>
    <col min="9" max="9" width="21.42578125" style="73" customWidth="1"/>
    <col min="10" max="10" width="20.28515625" style="73" bestFit="1" customWidth="1"/>
    <col min="11" max="16384" width="9.140625" style="73"/>
  </cols>
  <sheetData>
    <row r="1" spans="1:9" s="76" customFormat="1" ht="19.899999999999999" customHeight="1">
      <c r="A1" s="76" t="s">
        <v>394</v>
      </c>
      <c r="B1" s="86"/>
      <c r="C1" s="83"/>
      <c r="F1" s="77">
        <v>43873</v>
      </c>
      <c r="G1" s="86"/>
    </row>
    <row r="2" spans="1:9" s="63" customFormat="1" ht="19.899999999999999" customHeight="1">
      <c r="A2" s="67" t="s">
        <v>261</v>
      </c>
      <c r="B2" s="89" t="s">
        <v>6</v>
      </c>
      <c r="C2" s="90" t="s">
        <v>0</v>
      </c>
      <c r="D2" s="67" t="s">
        <v>568</v>
      </c>
      <c r="E2" s="91" t="s">
        <v>206</v>
      </c>
      <c r="F2" s="89" t="s">
        <v>2</v>
      </c>
      <c r="G2" s="89" t="s">
        <v>6</v>
      </c>
      <c r="H2" s="90" t="s">
        <v>0</v>
      </c>
      <c r="I2" s="67" t="s">
        <v>568</v>
      </c>
    </row>
    <row r="3" spans="1:9" s="63" customFormat="1" ht="19.899999999999999" customHeight="1">
      <c r="A3" s="92">
        <v>1</v>
      </c>
      <c r="B3" s="72" t="s">
        <v>569</v>
      </c>
      <c r="C3" s="7" t="s">
        <v>390</v>
      </c>
      <c r="D3" s="153" t="s">
        <v>395</v>
      </c>
      <c r="E3" s="93">
        <v>6300</v>
      </c>
      <c r="F3" s="87" t="s">
        <v>16</v>
      </c>
      <c r="G3" s="72" t="s">
        <v>570</v>
      </c>
      <c r="H3" s="7" t="s">
        <v>391</v>
      </c>
      <c r="I3" s="17" t="s">
        <v>397</v>
      </c>
    </row>
    <row r="4" spans="1:9" s="63" customFormat="1" ht="19.899999999999999" customHeight="1">
      <c r="A4" s="92">
        <v>2</v>
      </c>
      <c r="B4" s="72" t="s">
        <v>569</v>
      </c>
      <c r="C4" s="60" t="s">
        <v>390</v>
      </c>
      <c r="D4" s="153" t="s">
        <v>572</v>
      </c>
      <c r="E4" s="94">
        <v>5700</v>
      </c>
      <c r="F4" s="87" t="s">
        <v>16</v>
      </c>
      <c r="G4" s="72" t="s">
        <v>570</v>
      </c>
      <c r="H4" s="7" t="s">
        <v>391</v>
      </c>
      <c r="I4" s="17" t="s">
        <v>575</v>
      </c>
    </row>
    <row r="5" spans="1:9" s="63" customFormat="1" ht="19.899999999999999" customHeight="1">
      <c r="A5" s="92">
        <v>3</v>
      </c>
      <c r="B5" s="72" t="s">
        <v>569</v>
      </c>
      <c r="C5" s="7" t="s">
        <v>390</v>
      </c>
      <c r="D5" s="153" t="s">
        <v>576</v>
      </c>
      <c r="E5" s="94">
        <v>5700</v>
      </c>
      <c r="F5" s="87" t="s">
        <v>16</v>
      </c>
      <c r="G5" s="72" t="s">
        <v>570</v>
      </c>
      <c r="H5" s="7" t="s">
        <v>391</v>
      </c>
      <c r="I5" s="17" t="s">
        <v>577</v>
      </c>
    </row>
    <row r="6" spans="1:9" s="63" customFormat="1" ht="19.899999999999999" customHeight="1">
      <c r="A6" s="92">
        <v>4</v>
      </c>
      <c r="B6" s="72" t="s">
        <v>569</v>
      </c>
      <c r="C6" s="7" t="s">
        <v>390</v>
      </c>
      <c r="D6" s="153" t="s">
        <v>578</v>
      </c>
      <c r="E6" s="94">
        <v>5700</v>
      </c>
      <c r="F6" s="87" t="s">
        <v>16</v>
      </c>
      <c r="G6" s="72" t="s">
        <v>570</v>
      </c>
      <c r="H6" s="7" t="s">
        <v>391</v>
      </c>
      <c r="I6" s="484" t="s">
        <v>744</v>
      </c>
    </row>
    <row r="7" spans="1:9" s="63" customFormat="1" ht="19.899999999999999" customHeight="1">
      <c r="A7" s="92">
        <v>5</v>
      </c>
      <c r="B7" s="72" t="s">
        <v>569</v>
      </c>
      <c r="C7" s="7" t="s">
        <v>390</v>
      </c>
      <c r="D7" s="153" t="s">
        <v>581</v>
      </c>
      <c r="E7" s="94">
        <v>5700</v>
      </c>
      <c r="F7" s="87" t="s">
        <v>16</v>
      </c>
      <c r="G7" s="72" t="s">
        <v>570</v>
      </c>
      <c r="H7" s="62" t="s">
        <v>391</v>
      </c>
      <c r="I7" s="17" t="s">
        <v>403</v>
      </c>
    </row>
    <row r="8" spans="1:9" s="63" customFormat="1" ht="19.899999999999999" customHeight="1">
      <c r="A8" s="92">
        <v>6</v>
      </c>
      <c r="B8" s="72" t="s">
        <v>569</v>
      </c>
      <c r="C8" s="7" t="s">
        <v>390</v>
      </c>
      <c r="D8" s="153" t="s">
        <v>583</v>
      </c>
      <c r="E8" s="94">
        <v>5700</v>
      </c>
      <c r="F8" s="87" t="s">
        <v>16</v>
      </c>
      <c r="G8" s="72" t="s">
        <v>570</v>
      </c>
      <c r="H8" s="7" t="s">
        <v>391</v>
      </c>
      <c r="I8" s="152" t="s">
        <v>584</v>
      </c>
    </row>
    <row r="9" spans="1:9" s="63" customFormat="1" ht="19.899999999999999" customHeight="1">
      <c r="A9" s="92">
        <v>7</v>
      </c>
      <c r="B9" s="72" t="s">
        <v>569</v>
      </c>
      <c r="C9" s="7" t="s">
        <v>390</v>
      </c>
      <c r="D9" s="153" t="s">
        <v>585</v>
      </c>
      <c r="E9" s="94">
        <v>5700</v>
      </c>
      <c r="F9" s="87" t="s">
        <v>16</v>
      </c>
      <c r="G9" s="72" t="s">
        <v>570</v>
      </c>
      <c r="H9" s="7" t="s">
        <v>391</v>
      </c>
      <c r="I9" s="17" t="s">
        <v>586</v>
      </c>
    </row>
    <row r="10" spans="1:9" s="63" customFormat="1" ht="19.899999999999999" customHeight="1">
      <c r="A10" s="92">
        <v>8</v>
      </c>
      <c r="B10" s="72" t="s">
        <v>569</v>
      </c>
      <c r="C10" s="7" t="s">
        <v>390</v>
      </c>
      <c r="D10" s="486" t="s">
        <v>587</v>
      </c>
      <c r="E10" s="94">
        <v>5700</v>
      </c>
      <c r="F10" s="95" t="s">
        <v>16</v>
      </c>
      <c r="G10" s="72" t="s">
        <v>570</v>
      </c>
      <c r="H10" s="7" t="s">
        <v>391</v>
      </c>
      <c r="I10" s="17" t="s">
        <v>571</v>
      </c>
    </row>
    <row r="11" spans="1:9" s="63" customFormat="1" ht="19.899999999999999" customHeight="1">
      <c r="A11" s="92">
        <v>9</v>
      </c>
      <c r="B11" s="72" t="s">
        <v>569</v>
      </c>
      <c r="C11" s="7" t="s">
        <v>390</v>
      </c>
      <c r="D11" s="487" t="s">
        <v>405</v>
      </c>
      <c r="E11" s="96">
        <v>5700</v>
      </c>
      <c r="F11" s="95" t="s">
        <v>16</v>
      </c>
      <c r="G11" s="72" t="s">
        <v>570</v>
      </c>
      <c r="H11" s="7" t="s">
        <v>391</v>
      </c>
      <c r="I11" s="485" t="s">
        <v>406</v>
      </c>
    </row>
    <row r="12" spans="1:9" s="103" customFormat="1" ht="19.899999999999999" customHeight="1">
      <c r="A12" s="92">
        <v>10</v>
      </c>
      <c r="B12" s="72" t="s">
        <v>569</v>
      </c>
      <c r="C12" s="7" t="s">
        <v>390</v>
      </c>
      <c r="D12" s="101" t="s">
        <v>396</v>
      </c>
      <c r="E12" s="94">
        <v>5700</v>
      </c>
      <c r="F12" s="102" t="s">
        <v>16</v>
      </c>
      <c r="G12" s="72" t="s">
        <v>570</v>
      </c>
      <c r="H12" s="62" t="s">
        <v>391</v>
      </c>
      <c r="I12" s="101" t="s">
        <v>397</v>
      </c>
    </row>
    <row r="13" spans="1:9" s="103" customFormat="1" ht="19.899999999999999" customHeight="1">
      <c r="A13" s="92">
        <v>11</v>
      </c>
      <c r="B13" s="72" t="s">
        <v>569</v>
      </c>
      <c r="C13" s="7" t="s">
        <v>390</v>
      </c>
      <c r="D13" s="101" t="s">
        <v>600</v>
      </c>
      <c r="E13" s="94">
        <v>5700</v>
      </c>
      <c r="F13" s="102" t="s">
        <v>16</v>
      </c>
      <c r="G13" s="72" t="s">
        <v>570</v>
      </c>
      <c r="H13" s="62" t="s">
        <v>391</v>
      </c>
      <c r="I13" s="101" t="s">
        <v>601</v>
      </c>
    </row>
    <row r="14" spans="1:9" s="103" customFormat="1" ht="19.899999999999999" customHeight="1">
      <c r="A14" s="92">
        <v>12</v>
      </c>
      <c r="B14" s="72" t="s">
        <v>569</v>
      </c>
      <c r="C14" s="7" t="s">
        <v>390</v>
      </c>
      <c r="D14" s="101" t="s">
        <v>395</v>
      </c>
      <c r="E14" s="94">
        <v>5700</v>
      </c>
      <c r="F14" s="102" t="s">
        <v>16</v>
      </c>
      <c r="G14" s="72" t="s">
        <v>570</v>
      </c>
      <c r="H14" s="62" t="s">
        <v>391</v>
      </c>
      <c r="I14" s="101" t="s">
        <v>399</v>
      </c>
    </row>
    <row r="15" spans="1:9" s="103" customFormat="1" ht="19.899999999999999" customHeight="1">
      <c r="A15" s="92">
        <v>13</v>
      </c>
      <c r="B15" s="72" t="s">
        <v>569</v>
      </c>
      <c r="C15" s="7" t="s">
        <v>390</v>
      </c>
      <c r="D15" s="101" t="s">
        <v>602</v>
      </c>
      <c r="E15" s="94">
        <v>5700</v>
      </c>
      <c r="F15" s="102" t="s">
        <v>16</v>
      </c>
      <c r="G15" s="72" t="s">
        <v>570</v>
      </c>
      <c r="H15" s="62" t="s">
        <v>391</v>
      </c>
      <c r="I15" s="101" t="s">
        <v>603</v>
      </c>
    </row>
    <row r="16" spans="1:9" s="63" customFormat="1" ht="19.899999999999999" customHeight="1">
      <c r="A16" s="92">
        <v>14</v>
      </c>
      <c r="B16" s="72" t="s">
        <v>569</v>
      </c>
      <c r="C16" s="7" t="s">
        <v>390</v>
      </c>
      <c r="D16" s="153" t="s">
        <v>579</v>
      </c>
      <c r="E16" s="179">
        <v>5700</v>
      </c>
      <c r="F16" s="87" t="s">
        <v>16</v>
      </c>
      <c r="G16" s="72" t="s">
        <v>570</v>
      </c>
      <c r="H16" s="7" t="s">
        <v>391</v>
      </c>
      <c r="I16" s="17" t="s">
        <v>573</v>
      </c>
    </row>
    <row r="17" spans="1:9" ht="19.899999999999999" customHeight="1">
      <c r="A17" s="92">
        <v>15</v>
      </c>
      <c r="B17" s="72" t="s">
        <v>569</v>
      </c>
      <c r="C17" s="7" t="s">
        <v>390</v>
      </c>
      <c r="D17" s="64" t="s">
        <v>590</v>
      </c>
      <c r="E17" s="94">
        <v>5700</v>
      </c>
      <c r="F17" s="72" t="s">
        <v>16</v>
      </c>
      <c r="G17" s="72" t="s">
        <v>570</v>
      </c>
      <c r="H17" s="62" t="s">
        <v>391</v>
      </c>
      <c r="I17" s="64" t="s">
        <v>591</v>
      </c>
    </row>
    <row r="18" spans="1:9" s="63" customFormat="1" ht="19.899999999999999" customHeight="1">
      <c r="A18" s="92">
        <v>16</v>
      </c>
      <c r="B18" s="72" t="s">
        <v>569</v>
      </c>
      <c r="C18" s="7" t="s">
        <v>390</v>
      </c>
      <c r="D18" s="153" t="s">
        <v>574</v>
      </c>
      <c r="E18" s="179">
        <v>5700</v>
      </c>
      <c r="F18" s="87" t="s">
        <v>16</v>
      </c>
      <c r="G18" s="72" t="s">
        <v>570</v>
      </c>
      <c r="H18" s="7" t="s">
        <v>391</v>
      </c>
      <c r="I18" s="17" t="s">
        <v>580</v>
      </c>
    </row>
    <row r="19" spans="1:9" ht="19.899999999999999" customHeight="1" thickBot="1">
      <c r="D19" s="97" t="s">
        <v>392</v>
      </c>
      <c r="E19" s="98">
        <f>SUM(E3:E18)</f>
        <v>91800</v>
      </c>
    </row>
    <row r="20" spans="1:9" ht="19.899999999999999" customHeight="1" thickTop="1">
      <c r="D20" s="99"/>
      <c r="E20" s="100"/>
    </row>
    <row r="21" spans="1:9" s="76" customFormat="1" ht="19.899999999999999" customHeight="1">
      <c r="A21" s="76" t="s">
        <v>393</v>
      </c>
      <c r="B21" s="86"/>
      <c r="C21" s="83"/>
      <c r="F21" s="77">
        <v>43873</v>
      </c>
    </row>
    <row r="22" spans="1:9" s="63" customFormat="1" ht="19.899999999999999" customHeight="1">
      <c r="A22" s="67" t="s">
        <v>261</v>
      </c>
      <c r="B22" s="89" t="s">
        <v>6</v>
      </c>
      <c r="C22" s="90" t="s">
        <v>0</v>
      </c>
      <c r="D22" s="67" t="s">
        <v>568</v>
      </c>
      <c r="E22" s="91" t="s">
        <v>206</v>
      </c>
      <c r="F22" s="89" t="s">
        <v>2</v>
      </c>
      <c r="G22" s="89" t="s">
        <v>6</v>
      </c>
      <c r="H22" s="90" t="s">
        <v>0</v>
      </c>
      <c r="I22" s="67" t="s">
        <v>568</v>
      </c>
    </row>
    <row r="23" spans="1:9" s="103" customFormat="1" ht="19.899999999999999" customHeight="1">
      <c r="A23" s="64">
        <v>1</v>
      </c>
      <c r="B23" s="72" t="s">
        <v>569</v>
      </c>
      <c r="C23" s="7" t="s">
        <v>390</v>
      </c>
      <c r="D23" s="101" t="s">
        <v>592</v>
      </c>
      <c r="E23" s="94">
        <v>5700</v>
      </c>
      <c r="F23" s="102" t="s">
        <v>593</v>
      </c>
      <c r="G23" s="72" t="s">
        <v>570</v>
      </c>
      <c r="H23" s="62" t="s">
        <v>391</v>
      </c>
      <c r="I23" s="101" t="s">
        <v>594</v>
      </c>
    </row>
    <row r="24" spans="1:9" s="103" customFormat="1" ht="19.899999999999999" customHeight="1">
      <c r="A24" s="92">
        <v>2</v>
      </c>
      <c r="B24" s="72" t="s">
        <v>569</v>
      </c>
      <c r="C24" s="60" t="s">
        <v>390</v>
      </c>
      <c r="D24" s="101" t="s">
        <v>595</v>
      </c>
      <c r="E24" s="94">
        <v>5700</v>
      </c>
      <c r="F24" s="102" t="s">
        <v>593</v>
      </c>
      <c r="G24" s="72" t="s">
        <v>570</v>
      </c>
      <c r="H24" s="62" t="s">
        <v>391</v>
      </c>
      <c r="I24" s="101" t="s">
        <v>596</v>
      </c>
    </row>
    <row r="25" spans="1:9" s="103" customFormat="1" ht="19.899999999999999" customHeight="1">
      <c r="A25" s="92">
        <v>3</v>
      </c>
      <c r="B25" s="72" t="s">
        <v>569</v>
      </c>
      <c r="C25" s="7" t="s">
        <v>390</v>
      </c>
      <c r="D25" s="101" t="s">
        <v>597</v>
      </c>
      <c r="E25" s="94">
        <v>5700</v>
      </c>
      <c r="F25" s="102" t="s">
        <v>593</v>
      </c>
      <c r="G25" s="72" t="s">
        <v>570</v>
      </c>
      <c r="H25" s="62" t="s">
        <v>391</v>
      </c>
      <c r="I25" s="101" t="s">
        <v>571</v>
      </c>
    </row>
    <row r="26" spans="1:9" s="103" customFormat="1" ht="19.899999999999999" customHeight="1">
      <c r="A26" s="64">
        <v>4</v>
      </c>
      <c r="B26" s="72" t="s">
        <v>569</v>
      </c>
      <c r="C26" s="7" t="s">
        <v>390</v>
      </c>
      <c r="D26" s="101" t="s">
        <v>598</v>
      </c>
      <c r="E26" s="94">
        <v>5700</v>
      </c>
      <c r="F26" s="102" t="s">
        <v>593</v>
      </c>
      <c r="G26" s="72" t="s">
        <v>570</v>
      </c>
      <c r="H26" s="62" t="s">
        <v>391</v>
      </c>
      <c r="I26" s="101" t="s">
        <v>599</v>
      </c>
    </row>
    <row r="27" spans="1:9" s="103" customFormat="1" ht="19.899999999999999" customHeight="1">
      <c r="A27" s="64">
        <v>5</v>
      </c>
      <c r="B27" s="72" t="s">
        <v>569</v>
      </c>
      <c r="C27" s="7" t="s">
        <v>390</v>
      </c>
      <c r="D27" s="64" t="s">
        <v>398</v>
      </c>
      <c r="E27" s="94">
        <v>5700</v>
      </c>
      <c r="F27" s="102" t="s">
        <v>593</v>
      </c>
      <c r="G27" s="72" t="s">
        <v>570</v>
      </c>
      <c r="H27" s="62" t="s">
        <v>391</v>
      </c>
      <c r="I27" s="64" t="s">
        <v>584</v>
      </c>
    </row>
    <row r="28" spans="1:9" s="63" customFormat="1" ht="19.899999999999999" customHeight="1">
      <c r="A28" s="92">
        <v>6</v>
      </c>
      <c r="B28" s="72" t="s">
        <v>569</v>
      </c>
      <c r="C28" s="7" t="s">
        <v>390</v>
      </c>
      <c r="D28" s="153" t="s">
        <v>404</v>
      </c>
      <c r="E28" s="179">
        <v>5700</v>
      </c>
      <c r="F28" s="87" t="s">
        <v>793</v>
      </c>
      <c r="G28" s="72" t="s">
        <v>570</v>
      </c>
      <c r="H28" s="7" t="s">
        <v>391</v>
      </c>
      <c r="I28" s="17" t="s">
        <v>582</v>
      </c>
    </row>
    <row r="29" spans="1:9" s="63" customFormat="1" ht="19.899999999999999" customHeight="1">
      <c r="A29" s="92">
        <v>7</v>
      </c>
      <c r="B29" s="72" t="s">
        <v>569</v>
      </c>
      <c r="C29" s="7" t="s">
        <v>390</v>
      </c>
      <c r="D29" s="153" t="s">
        <v>800</v>
      </c>
      <c r="E29" s="179">
        <v>5700</v>
      </c>
      <c r="F29" s="87" t="s">
        <v>792</v>
      </c>
      <c r="G29" s="72" t="s">
        <v>570</v>
      </c>
      <c r="H29" s="7" t="s">
        <v>391</v>
      </c>
      <c r="I29" s="17" t="s">
        <v>801</v>
      </c>
    </row>
    <row r="30" spans="1:9" s="63" customFormat="1" ht="19.899999999999999" customHeight="1">
      <c r="A30" s="64">
        <v>8</v>
      </c>
      <c r="B30" s="72" t="s">
        <v>569</v>
      </c>
      <c r="C30" s="7" t="s">
        <v>390</v>
      </c>
      <c r="D30" s="153" t="s">
        <v>402</v>
      </c>
      <c r="E30" s="179">
        <v>5700</v>
      </c>
      <c r="F30" s="87" t="s">
        <v>743</v>
      </c>
      <c r="G30" s="72" t="s">
        <v>570</v>
      </c>
      <c r="H30" s="7" t="s">
        <v>391</v>
      </c>
      <c r="I30" s="17" t="s">
        <v>588</v>
      </c>
    </row>
    <row r="31" spans="1:9" s="63" customFormat="1" ht="19.899999999999999" customHeight="1">
      <c r="A31" s="64">
        <v>9</v>
      </c>
      <c r="B31" s="72" t="s">
        <v>569</v>
      </c>
      <c r="C31" s="7" t="s">
        <v>390</v>
      </c>
      <c r="D31" s="153" t="s">
        <v>400</v>
      </c>
      <c r="E31" s="179">
        <v>5700</v>
      </c>
      <c r="F31" s="87" t="s">
        <v>790</v>
      </c>
      <c r="G31" s="72" t="s">
        <v>570</v>
      </c>
      <c r="H31" s="7" t="s">
        <v>391</v>
      </c>
      <c r="I31" s="17" t="s">
        <v>401</v>
      </c>
    </row>
    <row r="32" spans="1:9" ht="19.899999999999999" customHeight="1" thickBot="1">
      <c r="D32" s="97" t="s">
        <v>392</v>
      </c>
      <c r="E32" s="98">
        <f>SUM(E23:E31)</f>
        <v>51300</v>
      </c>
    </row>
    <row r="33" spans="1:9" s="103" customFormat="1" ht="19.899999999999999" customHeight="1" thickTop="1">
      <c r="A33" s="104"/>
      <c r="C33" s="104"/>
      <c r="D33" s="105"/>
    </row>
    <row r="34" spans="1:9" s="76" customFormat="1" ht="19.899999999999999" customHeight="1">
      <c r="A34" s="76" t="s">
        <v>2225</v>
      </c>
      <c r="B34" s="86"/>
      <c r="C34" s="86"/>
      <c r="D34" s="106"/>
      <c r="E34" s="77"/>
      <c r="F34" s="77">
        <v>45771</v>
      </c>
    </row>
    <row r="35" spans="1:9" s="63" customFormat="1" ht="19.899999999999999" customHeight="1">
      <c r="A35" s="67" t="s">
        <v>261</v>
      </c>
      <c r="B35" s="89" t="s">
        <v>6</v>
      </c>
      <c r="C35" s="67" t="s">
        <v>0</v>
      </c>
      <c r="D35" s="67" t="s">
        <v>568</v>
      </c>
      <c r="E35" s="91" t="s">
        <v>206</v>
      </c>
      <c r="F35" s="67" t="s">
        <v>2224</v>
      </c>
      <c r="G35" s="67" t="s">
        <v>2</v>
      </c>
    </row>
    <row r="36" spans="1:9" s="103" customFormat="1" ht="19.899999999999999" customHeight="1">
      <c r="A36" s="64">
        <v>1</v>
      </c>
      <c r="B36" s="85" t="s">
        <v>604</v>
      </c>
      <c r="C36" s="379">
        <v>6224</v>
      </c>
      <c r="D36" s="64" t="s">
        <v>605</v>
      </c>
      <c r="E36" s="107">
        <v>4300</v>
      </c>
      <c r="F36" s="108" t="s">
        <v>606</v>
      </c>
      <c r="G36" s="488" t="s">
        <v>16</v>
      </c>
    </row>
    <row r="37" spans="1:9" s="109" customFormat="1" ht="19.899999999999999" customHeight="1">
      <c r="A37" s="64">
        <v>2</v>
      </c>
      <c r="B37" s="85" t="s">
        <v>604</v>
      </c>
      <c r="C37" s="379">
        <v>6224</v>
      </c>
      <c r="D37" s="56" t="s">
        <v>607</v>
      </c>
      <c r="E37" s="107">
        <v>4300</v>
      </c>
      <c r="F37" s="108" t="s">
        <v>608</v>
      </c>
      <c r="G37" s="488" t="s">
        <v>16</v>
      </c>
    </row>
    <row r="38" spans="1:9" s="109" customFormat="1" ht="19.899999999999999" customHeight="1">
      <c r="A38" s="64">
        <v>3</v>
      </c>
      <c r="B38" s="85" t="s">
        <v>604</v>
      </c>
      <c r="C38" s="379">
        <v>6224</v>
      </c>
      <c r="D38" s="56" t="s">
        <v>609</v>
      </c>
      <c r="E38" s="107">
        <v>4300</v>
      </c>
      <c r="F38" s="279" t="s">
        <v>610</v>
      </c>
      <c r="G38" s="488" t="s">
        <v>16</v>
      </c>
    </row>
    <row r="39" spans="1:9" s="109" customFormat="1" ht="25.5">
      <c r="A39" s="64">
        <v>4</v>
      </c>
      <c r="B39" s="85" t="s">
        <v>2223</v>
      </c>
      <c r="C39" s="379" t="s">
        <v>2221</v>
      </c>
      <c r="D39" s="56">
        <v>13182</v>
      </c>
      <c r="E39" s="107">
        <v>4100</v>
      </c>
      <c r="F39" s="279" t="s">
        <v>2222</v>
      </c>
      <c r="G39" s="488" t="s">
        <v>16</v>
      </c>
    </row>
    <row r="40" spans="1:9" s="109" customFormat="1" ht="25.5">
      <c r="A40" s="64">
        <v>5</v>
      </c>
      <c r="B40" s="85" t="s">
        <v>2223</v>
      </c>
      <c r="C40" s="379" t="s">
        <v>2221</v>
      </c>
      <c r="D40" s="56">
        <v>13179</v>
      </c>
      <c r="E40" s="107">
        <v>4100</v>
      </c>
      <c r="F40" s="279" t="s">
        <v>2222</v>
      </c>
      <c r="G40" s="488" t="s">
        <v>16</v>
      </c>
    </row>
    <row r="41" spans="1:9" s="109" customFormat="1" ht="19.899999999999999" customHeight="1" thickBot="1">
      <c r="A41" s="59"/>
      <c r="B41" s="110"/>
      <c r="C41" s="59"/>
      <c r="D41" s="97" t="s">
        <v>392</v>
      </c>
      <c r="E41" s="98">
        <f>SUM(E36:E40)</f>
        <v>21100</v>
      </c>
      <c r="F41" s="110"/>
    </row>
    <row r="42" spans="1:9" ht="19.899999999999999" customHeight="1" thickTop="1"/>
    <row r="43" spans="1:9" s="76" customFormat="1" ht="19.899999999999999" customHeight="1">
      <c r="A43" s="76" t="s">
        <v>908</v>
      </c>
      <c r="B43" s="86"/>
      <c r="C43" s="83"/>
      <c r="F43" s="77">
        <v>43646</v>
      </c>
      <c r="G43" s="86"/>
    </row>
    <row r="44" spans="1:9" s="76" customFormat="1" ht="19.899999999999999" customHeight="1">
      <c r="A44" s="113" t="s">
        <v>479</v>
      </c>
      <c r="B44" s="112" t="s">
        <v>915</v>
      </c>
      <c r="C44" s="154" t="s">
        <v>916</v>
      </c>
      <c r="D44" s="79" t="s">
        <v>917</v>
      </c>
      <c r="E44" s="155"/>
      <c r="F44" s="156"/>
      <c r="G44" s="86"/>
    </row>
    <row r="45" spans="1:9" s="63" customFormat="1" ht="19.899999999999999" customHeight="1">
      <c r="A45" s="67" t="s">
        <v>261</v>
      </c>
      <c r="B45" s="89" t="s">
        <v>911</v>
      </c>
      <c r="C45" s="578" t="s">
        <v>568</v>
      </c>
      <c r="D45" s="579"/>
      <c r="E45" s="91" t="s">
        <v>206</v>
      </c>
      <c r="F45" s="89" t="s">
        <v>2</v>
      </c>
      <c r="H45" s="149"/>
      <c r="I45" s="150"/>
    </row>
    <row r="46" spans="1:9" s="63" customFormat="1" ht="19.899999999999999" customHeight="1">
      <c r="A46" s="92">
        <v>1</v>
      </c>
      <c r="B46" s="72" t="s">
        <v>909</v>
      </c>
      <c r="C46" s="152" t="s">
        <v>910</v>
      </c>
      <c r="D46" s="148" t="s">
        <v>912</v>
      </c>
      <c r="E46" s="93">
        <v>6800</v>
      </c>
      <c r="F46" s="88" t="s">
        <v>1136</v>
      </c>
      <c r="G46" s="103"/>
      <c r="H46" s="2"/>
      <c r="I46" s="71"/>
    </row>
    <row r="47" spans="1:9" s="63" customFormat="1" ht="19.899999999999999" customHeight="1">
      <c r="A47" s="92">
        <v>2</v>
      </c>
      <c r="B47" s="72" t="s">
        <v>909</v>
      </c>
      <c r="C47" s="152" t="s">
        <v>913</v>
      </c>
      <c r="D47" s="148" t="s">
        <v>914</v>
      </c>
      <c r="E47" s="93">
        <v>6800</v>
      </c>
      <c r="F47" s="88" t="s">
        <v>1135</v>
      </c>
      <c r="G47" s="103"/>
      <c r="H47" s="2"/>
      <c r="I47" s="71"/>
    </row>
    <row r="48" spans="1:9" s="76" customFormat="1" ht="19.899999999999999" customHeight="1">
      <c r="A48" s="113" t="s">
        <v>479</v>
      </c>
      <c r="B48" s="112" t="s">
        <v>1044</v>
      </c>
      <c r="C48" s="154" t="s">
        <v>916</v>
      </c>
      <c r="D48" s="79" t="s">
        <v>1053</v>
      </c>
      <c r="E48" s="155"/>
      <c r="F48" s="156"/>
      <c r="G48" s="86"/>
    </row>
    <row r="49" spans="1:9" s="63" customFormat="1" ht="19.899999999999999" customHeight="1">
      <c r="A49" s="67" t="s">
        <v>261</v>
      </c>
      <c r="B49" s="89" t="s">
        <v>911</v>
      </c>
      <c r="C49" s="578" t="s">
        <v>568</v>
      </c>
      <c r="D49" s="579"/>
      <c r="E49" s="91" t="s">
        <v>206</v>
      </c>
      <c r="F49" s="89" t="s">
        <v>2</v>
      </c>
      <c r="H49" s="149"/>
      <c r="I49" s="150"/>
    </row>
    <row r="50" spans="1:9" s="63" customFormat="1" ht="19.899999999999999" customHeight="1">
      <c r="A50" s="92">
        <v>1</v>
      </c>
      <c r="B50" s="72" t="s">
        <v>909</v>
      </c>
      <c r="C50" s="152" t="s">
        <v>1045</v>
      </c>
      <c r="D50" s="148" t="s">
        <v>1049</v>
      </c>
      <c r="E50" s="93">
        <v>6800</v>
      </c>
      <c r="F50" s="88" t="s">
        <v>1134</v>
      </c>
      <c r="G50" s="103"/>
      <c r="H50" s="2"/>
      <c r="I50" s="71"/>
    </row>
    <row r="51" spans="1:9" s="63" customFormat="1" ht="19.899999999999999" customHeight="1">
      <c r="A51" s="92">
        <v>2</v>
      </c>
      <c r="B51" s="72" t="s">
        <v>909</v>
      </c>
      <c r="C51" s="152" t="s">
        <v>1046</v>
      </c>
      <c r="D51" s="148" t="s">
        <v>1050</v>
      </c>
      <c r="E51" s="93">
        <v>6800</v>
      </c>
      <c r="F51" s="88" t="s">
        <v>1156</v>
      </c>
      <c r="G51" s="103"/>
      <c r="H51" s="2"/>
      <c r="I51" s="71"/>
    </row>
    <row r="52" spans="1:9" s="63" customFormat="1" ht="19.899999999999999" customHeight="1">
      <c r="A52" s="92">
        <v>3</v>
      </c>
      <c r="B52" s="72" t="s">
        <v>909</v>
      </c>
      <c r="C52" s="152" t="s">
        <v>1047</v>
      </c>
      <c r="D52" s="148" t="s">
        <v>1051</v>
      </c>
      <c r="E52" s="93">
        <v>6800</v>
      </c>
      <c r="F52" s="88" t="s">
        <v>1155</v>
      </c>
      <c r="G52" s="103"/>
      <c r="H52" s="2"/>
      <c r="I52" s="71"/>
    </row>
    <row r="53" spans="1:9" s="63" customFormat="1" ht="19.899999999999999" customHeight="1">
      <c r="A53" s="92">
        <v>4</v>
      </c>
      <c r="B53" s="72" t="s">
        <v>909</v>
      </c>
      <c r="C53" s="152" t="s">
        <v>1048</v>
      </c>
      <c r="D53" s="148" t="s">
        <v>1052</v>
      </c>
      <c r="E53" s="93">
        <v>6800</v>
      </c>
      <c r="F53" s="88" t="s">
        <v>1157</v>
      </c>
      <c r="G53" s="103"/>
      <c r="H53" s="2"/>
      <c r="I53" s="71"/>
    </row>
    <row r="54" spans="1:9" ht="19.899999999999999" customHeight="1" thickBot="1">
      <c r="D54" s="97" t="s">
        <v>392</v>
      </c>
      <c r="E54" s="98">
        <f>SUM(E46:E53)</f>
        <v>40800</v>
      </c>
    </row>
    <row r="55" spans="1:9" s="103" customFormat="1" ht="19.899999999999999" customHeight="1" thickTop="1">
      <c r="A55" s="104"/>
      <c r="C55" s="104"/>
      <c r="D55" s="105"/>
    </row>
    <row r="56" spans="1:9" s="76" customFormat="1" ht="19.899999999999999" customHeight="1">
      <c r="A56" s="76" t="s">
        <v>927</v>
      </c>
      <c r="B56" s="86"/>
      <c r="C56" s="83"/>
      <c r="F56" s="77">
        <v>43646</v>
      </c>
      <c r="G56" s="86"/>
    </row>
    <row r="57" spans="1:9" s="76" customFormat="1" ht="19.899999999999999" customHeight="1">
      <c r="A57" s="113" t="s">
        <v>479</v>
      </c>
      <c r="B57" s="112" t="s">
        <v>921</v>
      </c>
      <c r="C57" s="154" t="s">
        <v>916</v>
      </c>
      <c r="D57" s="79" t="s">
        <v>922</v>
      </c>
      <c r="E57" s="155"/>
      <c r="F57" s="156"/>
      <c r="G57" s="86"/>
    </row>
    <row r="58" spans="1:9" s="63" customFormat="1" ht="19.899999999999999" customHeight="1">
      <c r="A58" s="67" t="s">
        <v>261</v>
      </c>
      <c r="B58" s="89" t="s">
        <v>911</v>
      </c>
      <c r="C58" s="578" t="s">
        <v>568</v>
      </c>
      <c r="D58" s="579"/>
      <c r="E58" s="91" t="s">
        <v>206</v>
      </c>
      <c r="F58" s="89" t="s">
        <v>2</v>
      </c>
      <c r="H58" s="149"/>
      <c r="I58" s="150"/>
    </row>
    <row r="59" spans="1:9" s="63" customFormat="1" ht="19.899999999999999" customHeight="1">
      <c r="A59" s="92">
        <v>1</v>
      </c>
      <c r="B59" s="72" t="s">
        <v>909</v>
      </c>
      <c r="C59" s="17" t="s">
        <v>918</v>
      </c>
      <c r="D59" s="153" t="s">
        <v>919</v>
      </c>
      <c r="E59" s="94">
        <v>6800</v>
      </c>
      <c r="F59" s="88" t="s">
        <v>920</v>
      </c>
      <c r="G59" s="103"/>
      <c r="H59" s="2"/>
      <c r="I59" s="71"/>
    </row>
    <row r="60" spans="1:9" s="63" customFormat="1" ht="19.899999999999999" customHeight="1">
      <c r="A60" s="92"/>
      <c r="B60" s="103"/>
      <c r="C60" s="157"/>
      <c r="D60" s="158"/>
      <c r="E60" s="94"/>
      <c r="F60" s="88"/>
      <c r="G60" s="103"/>
      <c r="H60" s="2"/>
      <c r="I60" s="71"/>
    </row>
    <row r="61" spans="1:9" s="76" customFormat="1" ht="19.899999999999999" customHeight="1">
      <c r="A61" s="113" t="s">
        <v>479</v>
      </c>
      <c r="B61" s="112" t="s">
        <v>923</v>
      </c>
      <c r="C61" s="154" t="s">
        <v>916</v>
      </c>
      <c r="D61" s="79" t="s">
        <v>924</v>
      </c>
      <c r="E61" s="155"/>
      <c r="F61" s="156"/>
      <c r="G61" s="86"/>
    </row>
    <row r="62" spans="1:9" s="63" customFormat="1" ht="19.899999999999999" customHeight="1">
      <c r="A62" s="67" t="s">
        <v>261</v>
      </c>
      <c r="B62" s="89" t="s">
        <v>911</v>
      </c>
      <c r="C62" s="578" t="s">
        <v>568</v>
      </c>
      <c r="D62" s="579"/>
      <c r="E62" s="91" t="s">
        <v>206</v>
      </c>
      <c r="F62" s="89" t="s">
        <v>2</v>
      </c>
      <c r="H62" s="149"/>
      <c r="I62" s="150"/>
    </row>
    <row r="63" spans="1:9" s="63" customFormat="1" ht="19.899999999999999" customHeight="1">
      <c r="A63" s="92">
        <v>2</v>
      </c>
      <c r="B63" s="72" t="s">
        <v>909</v>
      </c>
      <c r="C63" s="17" t="s">
        <v>925</v>
      </c>
      <c r="D63" s="153" t="s">
        <v>926</v>
      </c>
      <c r="E63" s="94">
        <v>6800</v>
      </c>
      <c r="F63" s="88" t="s">
        <v>920</v>
      </c>
      <c r="G63" s="103"/>
      <c r="H63" s="2"/>
      <c r="I63" s="151"/>
    </row>
    <row r="64" spans="1:9" ht="19.899999999999999" customHeight="1" thickBot="1">
      <c r="D64" s="97" t="s">
        <v>392</v>
      </c>
      <c r="E64" s="98">
        <f>SUM(E57:E63)</f>
        <v>13600</v>
      </c>
    </row>
    <row r="65" spans="1:10" s="103" customFormat="1" ht="19.899999999999999" customHeight="1" thickTop="1">
      <c r="A65" s="104"/>
      <c r="C65" s="104"/>
      <c r="D65" s="105"/>
    </row>
    <row r="66" spans="1:10" s="76" customFormat="1" ht="19.899999999999999" customHeight="1">
      <c r="A66" s="76" t="s">
        <v>1469</v>
      </c>
      <c r="B66" s="86"/>
      <c r="C66" s="83"/>
      <c r="F66" s="77">
        <v>45490</v>
      </c>
      <c r="G66" s="86"/>
    </row>
    <row r="67" spans="1:10" s="76" customFormat="1" ht="20.100000000000001" customHeight="1">
      <c r="A67" s="337" t="s">
        <v>479</v>
      </c>
      <c r="B67" s="338" t="s">
        <v>1546</v>
      </c>
      <c r="C67" s="339" t="s">
        <v>916</v>
      </c>
      <c r="D67" s="340" t="s">
        <v>1483</v>
      </c>
      <c r="E67" s="341"/>
      <c r="F67" s="342"/>
      <c r="G67" s="341"/>
      <c r="H67" s="341"/>
      <c r="I67" s="341"/>
      <c r="J67" s="341"/>
    </row>
    <row r="68" spans="1:10" s="333" customFormat="1" ht="34.5" customHeight="1">
      <c r="A68" s="343" t="s">
        <v>261</v>
      </c>
      <c r="B68" s="344" t="s">
        <v>911</v>
      </c>
      <c r="C68" s="580" t="s">
        <v>1468</v>
      </c>
      <c r="D68" s="581"/>
      <c r="E68" s="345" t="s">
        <v>206</v>
      </c>
      <c r="F68" s="346" t="s">
        <v>2</v>
      </c>
      <c r="G68" s="344" t="s">
        <v>1712</v>
      </c>
      <c r="H68" s="344" t="s">
        <v>1717</v>
      </c>
      <c r="I68" s="344" t="s">
        <v>1717</v>
      </c>
      <c r="J68" s="344" t="s">
        <v>1717</v>
      </c>
    </row>
    <row r="69" spans="1:10" s="63" customFormat="1" ht="30" customHeight="1">
      <c r="A69" s="67">
        <v>1</v>
      </c>
      <c r="B69" s="224" t="s">
        <v>1467</v>
      </c>
      <c r="C69" s="572" t="s">
        <v>1547</v>
      </c>
      <c r="D69" s="573"/>
      <c r="E69" s="441">
        <v>780</v>
      </c>
      <c r="F69" s="331" t="s">
        <v>1705</v>
      </c>
      <c r="G69" s="334" t="s">
        <v>1713</v>
      </c>
      <c r="H69" s="334" t="s">
        <v>1720</v>
      </c>
      <c r="I69" s="334" t="s">
        <v>2206</v>
      </c>
      <c r="J69" s="334" t="s">
        <v>2205</v>
      </c>
    </row>
    <row r="70" spans="1:10" s="63" customFormat="1" ht="30" customHeight="1">
      <c r="A70" s="67">
        <v>2</v>
      </c>
      <c r="B70" s="224" t="s">
        <v>1467</v>
      </c>
      <c r="C70" s="572" t="s">
        <v>1548</v>
      </c>
      <c r="D70" s="573"/>
      <c r="E70" s="441">
        <v>780</v>
      </c>
      <c r="F70" s="331" t="s">
        <v>1705</v>
      </c>
      <c r="G70" s="334" t="s">
        <v>1713</v>
      </c>
      <c r="H70" s="334" t="s">
        <v>1720</v>
      </c>
      <c r="I70" s="334" t="s">
        <v>2206</v>
      </c>
      <c r="J70" s="334" t="s">
        <v>2205</v>
      </c>
    </row>
    <row r="71" spans="1:10" s="63" customFormat="1" ht="20.100000000000001" customHeight="1">
      <c r="A71" s="337" t="s">
        <v>479</v>
      </c>
      <c r="B71" s="347" t="s">
        <v>1465</v>
      </c>
      <c r="C71" s="348" t="s">
        <v>916</v>
      </c>
      <c r="D71" s="349" t="s">
        <v>1466</v>
      </c>
      <c r="E71" s="350"/>
      <c r="F71" s="351"/>
      <c r="G71" s="442"/>
      <c r="H71" s="443"/>
      <c r="I71" s="443"/>
      <c r="J71" s="443"/>
    </row>
    <row r="72" spans="1:10" s="63" customFormat="1" ht="38.25">
      <c r="A72" s="352" t="s">
        <v>261</v>
      </c>
      <c r="B72" s="353" t="s">
        <v>911</v>
      </c>
      <c r="C72" s="574" t="s">
        <v>1468</v>
      </c>
      <c r="D72" s="575"/>
      <c r="E72" s="354" t="s">
        <v>206</v>
      </c>
      <c r="F72" s="355" t="s">
        <v>2</v>
      </c>
      <c r="G72" s="344" t="s">
        <v>1712</v>
      </c>
      <c r="H72" s="344" t="s">
        <v>1717</v>
      </c>
      <c r="I72" s="344" t="s">
        <v>1717</v>
      </c>
      <c r="J72" s="344" t="s">
        <v>1717</v>
      </c>
    </row>
    <row r="73" spans="1:10" s="63" customFormat="1" ht="30" customHeight="1">
      <c r="A73" s="92">
        <v>1</v>
      </c>
      <c r="B73" s="224" t="s">
        <v>1467</v>
      </c>
      <c r="C73" s="572" t="s">
        <v>1473</v>
      </c>
      <c r="D73" s="573"/>
      <c r="E73" s="225">
        <v>3200</v>
      </c>
      <c r="F73" s="332" t="s">
        <v>2161</v>
      </c>
      <c r="G73" s="334" t="s">
        <v>1714</v>
      </c>
      <c r="H73" s="335" t="s">
        <v>1718</v>
      </c>
      <c r="I73" s="335" t="s">
        <v>2150</v>
      </c>
      <c r="J73" s="495" t="s">
        <v>2261</v>
      </c>
    </row>
    <row r="74" spans="1:10" s="63" customFormat="1" ht="30" customHeight="1">
      <c r="A74" s="92">
        <v>2</v>
      </c>
      <c r="B74" s="224" t="s">
        <v>1467</v>
      </c>
      <c r="C74" s="572" t="s">
        <v>1470</v>
      </c>
      <c r="D74" s="573"/>
      <c r="E74" s="225">
        <v>3200</v>
      </c>
      <c r="F74" s="570" t="s">
        <v>1706</v>
      </c>
      <c r="G74" s="334" t="s">
        <v>1714</v>
      </c>
      <c r="H74" s="335" t="s">
        <v>1718</v>
      </c>
      <c r="I74" s="335"/>
      <c r="J74" s="335"/>
    </row>
    <row r="75" spans="1:10" s="63" customFormat="1" ht="30" customHeight="1">
      <c r="A75" s="92">
        <v>3</v>
      </c>
      <c r="B75" s="224" t="s">
        <v>1467</v>
      </c>
      <c r="C75" s="572" t="s">
        <v>1471</v>
      </c>
      <c r="D75" s="573"/>
      <c r="E75" s="225">
        <v>3200</v>
      </c>
      <c r="F75" s="571"/>
      <c r="G75" s="334" t="s">
        <v>1714</v>
      </c>
      <c r="H75" s="335" t="s">
        <v>1718</v>
      </c>
      <c r="I75" s="335"/>
      <c r="J75" s="335"/>
    </row>
    <row r="76" spans="1:10" s="63" customFormat="1" ht="30" customHeight="1">
      <c r="A76" s="92">
        <v>4</v>
      </c>
      <c r="B76" s="224" t="s">
        <v>1467</v>
      </c>
      <c r="C76" s="572" t="s">
        <v>1472</v>
      </c>
      <c r="D76" s="573"/>
      <c r="E76" s="225">
        <v>3200</v>
      </c>
      <c r="F76" s="571"/>
      <c r="G76" s="334" t="s">
        <v>1714</v>
      </c>
      <c r="H76" s="335" t="s">
        <v>1718</v>
      </c>
      <c r="I76" s="335"/>
      <c r="J76" s="335"/>
    </row>
    <row r="77" spans="1:10" s="63" customFormat="1" ht="30" customHeight="1">
      <c r="A77" s="92">
        <v>5</v>
      </c>
      <c r="B77" s="224" t="s">
        <v>1467</v>
      </c>
      <c r="C77" s="572" t="s">
        <v>1655</v>
      </c>
      <c r="D77" s="573"/>
      <c r="E77" s="225">
        <v>3200</v>
      </c>
      <c r="F77" s="331" t="s">
        <v>1705</v>
      </c>
      <c r="G77" s="334" t="s">
        <v>1714</v>
      </c>
      <c r="H77" s="335" t="s">
        <v>1718</v>
      </c>
      <c r="I77" s="335" t="s">
        <v>2150</v>
      </c>
      <c r="J77" s="495" t="s">
        <v>2261</v>
      </c>
    </row>
    <row r="78" spans="1:10" s="63" customFormat="1" ht="30" customHeight="1">
      <c r="A78" s="92">
        <v>6</v>
      </c>
      <c r="B78" s="224" t="s">
        <v>1467</v>
      </c>
      <c r="C78" s="572" t="s">
        <v>1474</v>
      </c>
      <c r="D78" s="573"/>
      <c r="E78" s="225">
        <v>3200</v>
      </c>
      <c r="F78" s="332" t="s">
        <v>2160</v>
      </c>
      <c r="G78" s="334" t="s">
        <v>1714</v>
      </c>
      <c r="H78" s="335" t="s">
        <v>1718</v>
      </c>
      <c r="I78" s="335" t="s">
        <v>2150</v>
      </c>
      <c r="J78" s="495" t="s">
        <v>2261</v>
      </c>
    </row>
    <row r="79" spans="1:10" s="63" customFormat="1" ht="30" customHeight="1">
      <c r="A79" s="92">
        <v>7</v>
      </c>
      <c r="B79" s="224" t="s">
        <v>1467</v>
      </c>
      <c r="C79" s="572" t="s">
        <v>1475</v>
      </c>
      <c r="D79" s="573"/>
      <c r="E79" s="225">
        <v>3200</v>
      </c>
      <c r="F79" s="332" t="s">
        <v>1705</v>
      </c>
      <c r="G79" s="334" t="s">
        <v>1714</v>
      </c>
      <c r="H79" s="335" t="s">
        <v>1718</v>
      </c>
      <c r="I79" s="335" t="s">
        <v>2150</v>
      </c>
      <c r="J79" s="495" t="s">
        <v>2261</v>
      </c>
    </row>
    <row r="80" spans="1:10" s="63" customFormat="1" ht="30" customHeight="1">
      <c r="A80" s="92">
        <v>8</v>
      </c>
      <c r="B80" s="224" t="s">
        <v>1467</v>
      </c>
      <c r="C80" s="572" t="s">
        <v>1476</v>
      </c>
      <c r="D80" s="573"/>
      <c r="E80" s="225">
        <v>3200</v>
      </c>
      <c r="F80" s="332" t="s">
        <v>2160</v>
      </c>
      <c r="G80" s="334" t="s">
        <v>1714</v>
      </c>
      <c r="H80" s="335" t="s">
        <v>1718</v>
      </c>
      <c r="I80" s="335" t="s">
        <v>2150</v>
      </c>
      <c r="J80" s="495" t="s">
        <v>2261</v>
      </c>
    </row>
    <row r="81" spans="1:11" ht="30" customHeight="1">
      <c r="A81" s="386">
        <v>9</v>
      </c>
      <c r="B81" s="387" t="s">
        <v>1467</v>
      </c>
      <c r="C81" s="576" t="s">
        <v>1477</v>
      </c>
      <c r="D81" s="577"/>
      <c r="E81" s="444">
        <v>3200</v>
      </c>
      <c r="F81" s="388" t="s">
        <v>1707</v>
      </c>
      <c r="G81" s="389" t="s">
        <v>1714</v>
      </c>
      <c r="H81" s="445"/>
      <c r="I81" s="445"/>
      <c r="J81" s="445"/>
    </row>
    <row r="82" spans="1:11" s="222" customFormat="1" ht="30" customHeight="1">
      <c r="A82" s="206">
        <v>10</v>
      </c>
      <c r="B82" s="224" t="s">
        <v>1467</v>
      </c>
      <c r="C82" s="572" t="s">
        <v>1478</v>
      </c>
      <c r="D82" s="573"/>
      <c r="E82" s="225">
        <v>3200</v>
      </c>
      <c r="F82" s="332" t="s">
        <v>2161</v>
      </c>
      <c r="G82" s="334" t="s">
        <v>1714</v>
      </c>
      <c r="H82" s="335" t="s">
        <v>1718</v>
      </c>
      <c r="I82" s="335" t="s">
        <v>2150</v>
      </c>
      <c r="J82" s="495" t="s">
        <v>2261</v>
      </c>
    </row>
    <row r="83" spans="1:11" s="223" customFormat="1" ht="20.100000000000001" customHeight="1">
      <c r="A83" s="337" t="s">
        <v>479</v>
      </c>
      <c r="B83" s="338" t="s">
        <v>1622</v>
      </c>
      <c r="C83" s="339" t="s">
        <v>916</v>
      </c>
      <c r="D83" s="340" t="s">
        <v>1485</v>
      </c>
      <c r="E83" s="341"/>
      <c r="F83" s="342"/>
      <c r="G83" s="442"/>
      <c r="H83" s="443"/>
      <c r="I83" s="443"/>
      <c r="J83" s="443"/>
    </row>
    <row r="84" spans="1:11" s="223" customFormat="1" ht="38.25">
      <c r="A84" s="352" t="s">
        <v>261</v>
      </c>
      <c r="B84" s="353" t="s">
        <v>911</v>
      </c>
      <c r="C84" s="574" t="s">
        <v>1468</v>
      </c>
      <c r="D84" s="575"/>
      <c r="E84" s="354" t="s">
        <v>206</v>
      </c>
      <c r="F84" s="355" t="s">
        <v>2</v>
      </c>
      <c r="G84" s="344" t="s">
        <v>1712</v>
      </c>
      <c r="H84" s="344" t="s">
        <v>1717</v>
      </c>
      <c r="I84" s="344" t="s">
        <v>1717</v>
      </c>
      <c r="J84" s="344" t="s">
        <v>1717</v>
      </c>
    </row>
    <row r="85" spans="1:11" s="223" customFormat="1" ht="30" customHeight="1">
      <c r="A85" s="206">
        <v>1</v>
      </c>
      <c r="B85" s="224" t="s">
        <v>1486</v>
      </c>
      <c r="C85" s="572" t="s">
        <v>1487</v>
      </c>
      <c r="D85" s="573"/>
      <c r="E85" s="225">
        <v>2800</v>
      </c>
      <c r="F85" s="332" t="s">
        <v>1705</v>
      </c>
      <c r="G85" s="334" t="s">
        <v>1715</v>
      </c>
      <c r="H85" s="335" t="s">
        <v>1719</v>
      </c>
      <c r="I85" s="335"/>
      <c r="J85" s="335" t="s">
        <v>2187</v>
      </c>
    </row>
    <row r="86" spans="1:11" s="223" customFormat="1" ht="30" customHeight="1">
      <c r="A86" s="206">
        <v>2</v>
      </c>
      <c r="B86" s="224" t="s">
        <v>1486</v>
      </c>
      <c r="C86" s="572" t="s">
        <v>1488</v>
      </c>
      <c r="D86" s="573"/>
      <c r="E86" s="225">
        <v>2800</v>
      </c>
      <c r="F86" s="332" t="s">
        <v>1705</v>
      </c>
      <c r="G86" s="334" t="s">
        <v>1715</v>
      </c>
      <c r="H86" s="335" t="s">
        <v>1719</v>
      </c>
      <c r="I86" s="335"/>
      <c r="J86" s="335" t="s">
        <v>2187</v>
      </c>
    </row>
    <row r="87" spans="1:11" s="223" customFormat="1" ht="30" customHeight="1">
      <c r="A87" s="206">
        <v>3</v>
      </c>
      <c r="B87" s="224" t="s">
        <v>1486</v>
      </c>
      <c r="C87" s="572" t="s">
        <v>1489</v>
      </c>
      <c r="D87" s="573"/>
      <c r="E87" s="225">
        <v>2800</v>
      </c>
      <c r="F87" s="332" t="s">
        <v>2161</v>
      </c>
      <c r="G87" s="334" t="s">
        <v>1715</v>
      </c>
      <c r="H87" s="335" t="s">
        <v>1719</v>
      </c>
      <c r="I87" s="335"/>
      <c r="J87" s="335" t="s">
        <v>2187</v>
      </c>
    </row>
    <row r="88" spans="1:11" s="223" customFormat="1" ht="30" customHeight="1">
      <c r="A88" s="206">
        <v>4</v>
      </c>
      <c r="B88" s="224" t="s">
        <v>1486</v>
      </c>
      <c r="C88" s="572" t="s">
        <v>1490</v>
      </c>
      <c r="D88" s="573"/>
      <c r="E88" s="225">
        <v>2800</v>
      </c>
      <c r="F88" s="331" t="s">
        <v>1708</v>
      </c>
      <c r="G88" s="334" t="s">
        <v>1715</v>
      </c>
      <c r="H88" s="335" t="s">
        <v>1719</v>
      </c>
      <c r="I88" s="335"/>
      <c r="J88" s="335"/>
    </row>
    <row r="89" spans="1:11" s="223" customFormat="1" ht="30" customHeight="1">
      <c r="A89" s="206">
        <v>5</v>
      </c>
      <c r="B89" s="224" t="s">
        <v>1486</v>
      </c>
      <c r="C89" s="572" t="s">
        <v>1491</v>
      </c>
      <c r="D89" s="573"/>
      <c r="E89" s="225">
        <v>2800</v>
      </c>
      <c r="F89" s="331" t="s">
        <v>1709</v>
      </c>
      <c r="G89" s="334" t="s">
        <v>1715</v>
      </c>
      <c r="H89" s="335" t="s">
        <v>1719</v>
      </c>
      <c r="I89" s="335"/>
      <c r="J89" s="335"/>
    </row>
    <row r="90" spans="1:11" ht="30" customHeight="1">
      <c r="A90" s="206">
        <v>6</v>
      </c>
      <c r="B90" s="224" t="s">
        <v>1486</v>
      </c>
      <c r="C90" s="572" t="s">
        <v>1492</v>
      </c>
      <c r="D90" s="573"/>
      <c r="E90" s="225">
        <v>2800</v>
      </c>
      <c r="F90" s="331" t="s">
        <v>1710</v>
      </c>
      <c r="G90" s="334" t="s">
        <v>1715</v>
      </c>
      <c r="H90" s="336" t="s">
        <v>1718</v>
      </c>
      <c r="I90" s="336"/>
      <c r="J90" s="336"/>
    </row>
    <row r="91" spans="1:11" ht="30" customHeight="1">
      <c r="A91" s="206">
        <v>7</v>
      </c>
      <c r="B91" s="224" t="s">
        <v>1486</v>
      </c>
      <c r="C91" s="572" t="s">
        <v>1493</v>
      </c>
      <c r="D91" s="573"/>
      <c r="E91" s="225">
        <v>2800</v>
      </c>
      <c r="F91" s="332" t="s">
        <v>2160</v>
      </c>
      <c r="G91" s="334" t="s">
        <v>1715</v>
      </c>
      <c r="H91" s="335" t="s">
        <v>1719</v>
      </c>
      <c r="I91" s="335"/>
      <c r="J91" s="335" t="s">
        <v>2187</v>
      </c>
    </row>
    <row r="92" spans="1:11" ht="20.100000000000001" customHeight="1">
      <c r="A92" s="356" t="s">
        <v>479</v>
      </c>
      <c r="B92" s="357" t="s">
        <v>1604</v>
      </c>
      <c r="C92" s="358" t="s">
        <v>916</v>
      </c>
      <c r="D92" s="359" t="s">
        <v>1605</v>
      </c>
      <c r="E92" s="446"/>
      <c r="F92" s="447"/>
      <c r="G92" s="448"/>
      <c r="H92" s="448"/>
      <c r="I92" s="448"/>
      <c r="J92" s="448"/>
    </row>
    <row r="93" spans="1:11" ht="38.25">
      <c r="A93" s="352" t="s">
        <v>261</v>
      </c>
      <c r="B93" s="353" t="s">
        <v>911</v>
      </c>
      <c r="C93" s="568" t="s">
        <v>1468</v>
      </c>
      <c r="D93" s="568"/>
      <c r="E93" s="354" t="s">
        <v>206</v>
      </c>
      <c r="F93" s="355" t="s">
        <v>2</v>
      </c>
      <c r="G93" s="344" t="s">
        <v>1712</v>
      </c>
      <c r="H93" s="344" t="s">
        <v>1717</v>
      </c>
      <c r="I93" s="344" t="s">
        <v>1717</v>
      </c>
      <c r="J93" s="344" t="s">
        <v>1717</v>
      </c>
    </row>
    <row r="94" spans="1:11" ht="30" customHeight="1">
      <c r="A94" s="92">
        <v>1</v>
      </c>
      <c r="B94" s="224" t="s">
        <v>1486</v>
      </c>
      <c r="C94" s="569" t="s">
        <v>1606</v>
      </c>
      <c r="D94" s="569"/>
      <c r="E94" s="225">
        <v>2925</v>
      </c>
      <c r="F94" s="332" t="s">
        <v>2161</v>
      </c>
      <c r="G94" s="254" t="s">
        <v>1716</v>
      </c>
      <c r="H94" s="213"/>
      <c r="I94" s="213" t="s">
        <v>2149</v>
      </c>
      <c r="J94" s="496" t="s">
        <v>2262</v>
      </c>
      <c r="K94" s="199"/>
    </row>
    <row r="95" spans="1:11" ht="30" customHeight="1">
      <c r="A95" s="92">
        <v>2</v>
      </c>
      <c r="B95" s="224" t="s">
        <v>1486</v>
      </c>
      <c r="C95" s="569" t="s">
        <v>1607</v>
      </c>
      <c r="D95" s="569"/>
      <c r="E95" s="225">
        <v>2925</v>
      </c>
      <c r="F95" s="332" t="s">
        <v>2161</v>
      </c>
      <c r="G95" s="254" t="s">
        <v>1716</v>
      </c>
      <c r="H95" s="213"/>
      <c r="I95" s="213" t="s">
        <v>2149</v>
      </c>
      <c r="J95" s="213"/>
    </row>
    <row r="96" spans="1:11" ht="30" customHeight="1">
      <c r="A96" s="92">
        <v>3</v>
      </c>
      <c r="B96" s="224" t="s">
        <v>1486</v>
      </c>
      <c r="C96" s="569" t="s">
        <v>1757</v>
      </c>
      <c r="D96" s="569"/>
      <c r="E96" s="225">
        <v>2925</v>
      </c>
      <c r="F96" s="332" t="s">
        <v>2160</v>
      </c>
      <c r="G96" s="254" t="s">
        <v>1716</v>
      </c>
      <c r="H96" s="213" t="s">
        <v>2239</v>
      </c>
      <c r="I96" s="492" t="s">
        <v>2240</v>
      </c>
      <c r="J96" s="213"/>
    </row>
    <row r="97" spans="1:10" ht="30" customHeight="1">
      <c r="A97" s="92">
        <v>4</v>
      </c>
      <c r="B97" s="224" t="s">
        <v>1486</v>
      </c>
      <c r="C97" s="569" t="s">
        <v>1608</v>
      </c>
      <c r="D97" s="569"/>
      <c r="E97" s="225">
        <v>2925</v>
      </c>
      <c r="F97" s="332" t="s">
        <v>2156</v>
      </c>
      <c r="G97" s="254" t="s">
        <v>1716</v>
      </c>
      <c r="I97" s="213" t="s">
        <v>2151</v>
      </c>
      <c r="J97" s="496" t="s">
        <v>2262</v>
      </c>
    </row>
    <row r="98" spans="1:10" ht="30" customHeight="1">
      <c r="A98" s="92">
        <v>5</v>
      </c>
      <c r="B98" s="224" t="s">
        <v>1486</v>
      </c>
      <c r="C98" s="569" t="s">
        <v>1609</v>
      </c>
      <c r="D98" s="569"/>
      <c r="E98" s="225">
        <v>2925</v>
      </c>
      <c r="F98" s="332" t="s">
        <v>2160</v>
      </c>
      <c r="G98" s="254" t="s">
        <v>1716</v>
      </c>
      <c r="H98" s="213"/>
      <c r="I98" s="213" t="s">
        <v>2149</v>
      </c>
      <c r="J98" s="496" t="s">
        <v>2262</v>
      </c>
    </row>
    <row r="99" spans="1:10" ht="30" customHeight="1">
      <c r="A99" s="92">
        <v>6</v>
      </c>
      <c r="B99" s="224" t="s">
        <v>1486</v>
      </c>
      <c r="C99" s="569" t="s">
        <v>1610</v>
      </c>
      <c r="D99" s="569"/>
      <c r="E99" s="225">
        <v>2925</v>
      </c>
      <c r="F99" s="332" t="s">
        <v>2161</v>
      </c>
      <c r="G99" s="254" t="s">
        <v>1716</v>
      </c>
      <c r="H99" s="213"/>
      <c r="I99" s="213" t="s">
        <v>2152</v>
      </c>
      <c r="J99" s="496" t="s">
        <v>2262</v>
      </c>
    </row>
    <row r="100" spans="1:10" ht="30" customHeight="1">
      <c r="A100" s="386">
        <v>7</v>
      </c>
      <c r="B100" s="387" t="s">
        <v>1486</v>
      </c>
      <c r="C100" s="582" t="s">
        <v>1611</v>
      </c>
      <c r="D100" s="582"/>
      <c r="E100" s="444">
        <v>2925</v>
      </c>
      <c r="F100" s="388" t="s">
        <v>1707</v>
      </c>
      <c r="G100" s="449" t="s">
        <v>1716</v>
      </c>
      <c r="H100" s="445"/>
      <c r="I100" s="445"/>
      <c r="J100" s="445"/>
    </row>
    <row r="101" spans="1:10" ht="30" customHeight="1">
      <c r="A101" s="386">
        <v>8</v>
      </c>
      <c r="B101" s="387" t="s">
        <v>1486</v>
      </c>
      <c r="C101" s="582" t="s">
        <v>1612</v>
      </c>
      <c r="D101" s="582"/>
      <c r="E101" s="444">
        <v>2925</v>
      </c>
      <c r="F101" s="388" t="s">
        <v>1707</v>
      </c>
      <c r="G101" s="449" t="s">
        <v>1716</v>
      </c>
      <c r="H101" s="445"/>
      <c r="I101" s="445"/>
      <c r="J101" s="445"/>
    </row>
    <row r="102" spans="1:10" ht="30" customHeight="1">
      <c r="A102" s="386">
        <v>9</v>
      </c>
      <c r="B102" s="387" t="s">
        <v>1486</v>
      </c>
      <c r="C102" s="582" t="s">
        <v>1613</v>
      </c>
      <c r="D102" s="582"/>
      <c r="E102" s="444">
        <v>2925</v>
      </c>
      <c r="F102" s="388" t="s">
        <v>1707</v>
      </c>
      <c r="G102" s="449" t="s">
        <v>1716</v>
      </c>
      <c r="H102" s="445"/>
      <c r="I102" s="445"/>
      <c r="J102" s="445"/>
    </row>
    <row r="103" spans="1:10" ht="30" customHeight="1">
      <c r="A103" s="92">
        <v>10</v>
      </c>
      <c r="B103" s="224" t="s">
        <v>1486</v>
      </c>
      <c r="C103" s="569" t="s">
        <v>1614</v>
      </c>
      <c r="D103" s="569"/>
      <c r="E103" s="225">
        <v>2925</v>
      </c>
      <c r="F103" s="332" t="s">
        <v>2160</v>
      </c>
      <c r="G103" s="254" t="s">
        <v>1716</v>
      </c>
      <c r="H103" s="213"/>
      <c r="I103" s="213" t="s">
        <v>2149</v>
      </c>
      <c r="J103" s="496" t="s">
        <v>2262</v>
      </c>
    </row>
    <row r="104" spans="1:10" ht="20.100000000000001" customHeight="1">
      <c r="A104" s="360" t="s">
        <v>479</v>
      </c>
      <c r="B104" s="361" t="s">
        <v>1465</v>
      </c>
      <c r="C104" s="362" t="s">
        <v>916</v>
      </c>
      <c r="D104" s="340" t="s">
        <v>1466</v>
      </c>
      <c r="E104" s="450"/>
      <c r="F104" s="451"/>
      <c r="G104" s="448"/>
      <c r="H104" s="448"/>
      <c r="I104" s="448"/>
      <c r="J104" s="448"/>
    </row>
    <row r="105" spans="1:10" ht="38.25">
      <c r="A105" s="352" t="s">
        <v>261</v>
      </c>
      <c r="B105" s="353" t="s">
        <v>911</v>
      </c>
      <c r="C105" s="568" t="s">
        <v>1468</v>
      </c>
      <c r="D105" s="568"/>
      <c r="E105" s="354" t="s">
        <v>206</v>
      </c>
      <c r="F105" s="355" t="s">
        <v>2</v>
      </c>
      <c r="G105" s="344" t="s">
        <v>1712</v>
      </c>
      <c r="H105" s="344" t="s">
        <v>1717</v>
      </c>
      <c r="I105" s="344" t="s">
        <v>1717</v>
      </c>
      <c r="J105" s="344" t="s">
        <v>1717</v>
      </c>
    </row>
    <row r="106" spans="1:10" ht="30" customHeight="1">
      <c r="A106" s="92">
        <v>1</v>
      </c>
      <c r="B106" s="224" t="s">
        <v>1486</v>
      </c>
      <c r="C106" s="569" t="s">
        <v>1623</v>
      </c>
      <c r="D106" s="569"/>
      <c r="E106" s="225">
        <v>3200</v>
      </c>
      <c r="F106" s="331" t="s">
        <v>1711</v>
      </c>
      <c r="G106" s="334" t="s">
        <v>1714</v>
      </c>
      <c r="H106" s="336" t="s">
        <v>2157</v>
      </c>
      <c r="I106" s="336" t="s">
        <v>2162</v>
      </c>
      <c r="J106" s="336"/>
    </row>
    <row r="107" spans="1:10" ht="19.899999999999999" customHeight="1">
      <c r="A107" s="478" t="s">
        <v>479</v>
      </c>
      <c r="B107" s="361"/>
      <c r="C107" s="479" t="s">
        <v>916</v>
      </c>
      <c r="D107" s="340"/>
      <c r="E107" s="450"/>
      <c r="F107" s="451"/>
      <c r="G107" s="448"/>
      <c r="H107" s="448"/>
      <c r="I107" s="448"/>
      <c r="J107" s="448"/>
    </row>
    <row r="108" spans="1:10" ht="38.25">
      <c r="A108" s="352" t="s">
        <v>261</v>
      </c>
      <c r="B108" s="353" t="s">
        <v>911</v>
      </c>
      <c r="C108" s="568" t="s">
        <v>1468</v>
      </c>
      <c r="D108" s="568"/>
      <c r="E108" s="354" t="s">
        <v>206</v>
      </c>
      <c r="F108" s="355" t="s">
        <v>2</v>
      </c>
      <c r="G108" s="344" t="s">
        <v>1712</v>
      </c>
      <c r="H108" s="344" t="s">
        <v>1717</v>
      </c>
      <c r="I108" s="344" t="s">
        <v>1717</v>
      </c>
      <c r="J108" s="344" t="s">
        <v>1717</v>
      </c>
    </row>
    <row r="109" spans="1:10" ht="30" customHeight="1">
      <c r="A109" s="92">
        <v>1</v>
      </c>
      <c r="B109" s="224" t="s">
        <v>1486</v>
      </c>
      <c r="C109" s="569" t="s">
        <v>2153</v>
      </c>
      <c r="D109" s="569"/>
      <c r="E109" s="225"/>
      <c r="F109" s="331" t="s">
        <v>2156</v>
      </c>
      <c r="G109" s="334"/>
      <c r="H109" s="336"/>
      <c r="I109" s="336" t="s">
        <v>2158</v>
      </c>
      <c r="J109" s="336" t="s">
        <v>2241</v>
      </c>
    </row>
    <row r="110" spans="1:10" ht="30" customHeight="1">
      <c r="A110" s="92">
        <v>2</v>
      </c>
      <c r="B110" s="224" t="s">
        <v>1486</v>
      </c>
      <c r="C110" s="569" t="s">
        <v>2154</v>
      </c>
      <c r="D110" s="569"/>
      <c r="E110" s="225"/>
      <c r="F110" s="331" t="s">
        <v>2156</v>
      </c>
      <c r="G110" s="334"/>
      <c r="H110" s="336"/>
      <c r="I110" s="336" t="s">
        <v>2158</v>
      </c>
      <c r="J110" s="336" t="s">
        <v>2241</v>
      </c>
    </row>
    <row r="111" spans="1:10" ht="30" customHeight="1">
      <c r="A111" s="92">
        <v>3</v>
      </c>
      <c r="B111" s="224" t="s">
        <v>1486</v>
      </c>
      <c r="C111" s="569" t="s">
        <v>2155</v>
      </c>
      <c r="D111" s="569"/>
      <c r="E111" s="225"/>
      <c r="F111" s="331" t="s">
        <v>2156</v>
      </c>
      <c r="G111" s="334"/>
      <c r="H111" s="336"/>
      <c r="I111" s="336" t="s">
        <v>2159</v>
      </c>
      <c r="J111" s="336" t="s">
        <v>2241</v>
      </c>
    </row>
    <row r="113" spans="1:6" ht="19.899999999999999" customHeight="1">
      <c r="A113" s="76" t="s">
        <v>2229</v>
      </c>
      <c r="B113" s="86"/>
      <c r="C113" s="83"/>
      <c r="D113" s="76"/>
      <c r="E113" s="76"/>
      <c r="F113" s="77">
        <v>45783</v>
      </c>
    </row>
    <row r="114" spans="1:6" ht="19.899999999999999" customHeight="1">
      <c r="A114" s="113" t="s">
        <v>479</v>
      </c>
      <c r="B114" s="112"/>
      <c r="C114" s="154" t="s">
        <v>916</v>
      </c>
      <c r="D114" s="79"/>
      <c r="E114" s="155"/>
      <c r="F114" s="156"/>
    </row>
    <row r="115" spans="1:6" ht="42.75" customHeight="1">
      <c r="A115" s="67" t="s">
        <v>261</v>
      </c>
      <c r="B115" s="89" t="s">
        <v>911</v>
      </c>
      <c r="C115" s="489" t="s">
        <v>568</v>
      </c>
      <c r="D115" s="145" t="s">
        <v>2230</v>
      </c>
      <c r="E115" s="91" t="s">
        <v>2231</v>
      </c>
      <c r="F115" s="491" t="s">
        <v>2</v>
      </c>
    </row>
    <row r="116" spans="1:6" ht="19.899999999999999" customHeight="1">
      <c r="A116" s="92">
        <v>1</v>
      </c>
      <c r="B116" s="224" t="s">
        <v>2232</v>
      </c>
      <c r="C116" s="490" t="s">
        <v>2233</v>
      </c>
      <c r="D116" s="94">
        <v>46</v>
      </c>
      <c r="E116" s="94">
        <v>310</v>
      </c>
      <c r="F116" s="212" t="s">
        <v>2237</v>
      </c>
    </row>
    <row r="117" spans="1:6" ht="19.899999999999999" customHeight="1">
      <c r="A117" s="92">
        <v>2</v>
      </c>
      <c r="B117" s="224" t="s">
        <v>2232</v>
      </c>
      <c r="C117" s="490" t="s">
        <v>2236</v>
      </c>
      <c r="D117" s="94">
        <v>46</v>
      </c>
      <c r="E117" s="94">
        <v>310</v>
      </c>
      <c r="F117" s="212" t="s">
        <v>2237</v>
      </c>
    </row>
    <row r="118" spans="1:6" ht="19.899999999999999" customHeight="1">
      <c r="A118" s="92">
        <v>3</v>
      </c>
      <c r="B118" s="224" t="s">
        <v>2232</v>
      </c>
      <c r="C118" s="490" t="s">
        <v>2234</v>
      </c>
      <c r="D118" s="94">
        <v>46</v>
      </c>
      <c r="E118" s="94">
        <v>310</v>
      </c>
      <c r="F118" s="212" t="s">
        <v>2237</v>
      </c>
    </row>
    <row r="119" spans="1:6" ht="19.899999999999999" customHeight="1">
      <c r="A119" s="92">
        <v>4</v>
      </c>
      <c r="B119" s="224" t="s">
        <v>2232</v>
      </c>
      <c r="C119" s="490" t="s">
        <v>2235</v>
      </c>
      <c r="D119" s="94">
        <v>46</v>
      </c>
      <c r="E119" s="94">
        <v>310</v>
      </c>
      <c r="F119" s="212" t="s">
        <v>2237</v>
      </c>
    </row>
  </sheetData>
  <mergeCells count="44">
    <mergeCell ref="C103:D103"/>
    <mergeCell ref="C96:D96"/>
    <mergeCell ref="C97:D97"/>
    <mergeCell ref="C98:D98"/>
    <mergeCell ref="C99:D99"/>
    <mergeCell ref="C100:D100"/>
    <mergeCell ref="C93:D93"/>
    <mergeCell ref="C94:D94"/>
    <mergeCell ref="C95:D95"/>
    <mergeCell ref="C101:D101"/>
    <mergeCell ref="C102:D102"/>
    <mergeCell ref="C45:D45"/>
    <mergeCell ref="C58:D58"/>
    <mergeCell ref="C49:D49"/>
    <mergeCell ref="C72:D72"/>
    <mergeCell ref="C73:D73"/>
    <mergeCell ref="C68:D68"/>
    <mergeCell ref="C69:D69"/>
    <mergeCell ref="C70:D70"/>
    <mergeCell ref="C62:D62"/>
    <mergeCell ref="C78:D78"/>
    <mergeCell ref="C79:D79"/>
    <mergeCell ref="C80:D80"/>
    <mergeCell ref="C81:D81"/>
    <mergeCell ref="C74:D74"/>
    <mergeCell ref="C75:D75"/>
    <mergeCell ref="C76:D76"/>
    <mergeCell ref="C77:D77"/>
    <mergeCell ref="C108:D108"/>
    <mergeCell ref="C109:D109"/>
    <mergeCell ref="C110:D110"/>
    <mergeCell ref="C111:D111"/>
    <mergeCell ref="F74:F76"/>
    <mergeCell ref="C105:D105"/>
    <mergeCell ref="C106:D106"/>
    <mergeCell ref="C90:D90"/>
    <mergeCell ref="C91:D91"/>
    <mergeCell ref="C84:D84"/>
    <mergeCell ref="C85:D85"/>
    <mergeCell ref="C86:D86"/>
    <mergeCell ref="C87:D87"/>
    <mergeCell ref="C88:D88"/>
    <mergeCell ref="C89:D89"/>
    <mergeCell ref="C82:D82"/>
  </mergeCells>
  <printOptions horizontalCentered="1"/>
  <pageMargins left="0.25" right="0.25" top="0.5" bottom="0.25" header="0.3" footer="0.3"/>
  <pageSetup paperSize="9" orientation="portrait" verticalDpi="120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28"/>
  <sheetViews>
    <sheetView zoomScale="115" zoomScaleNormal="115" workbookViewId="0">
      <selection activeCell="B13" sqref="B13"/>
    </sheetView>
  </sheetViews>
  <sheetFormatPr defaultColWidth="8.7109375" defaultRowHeight="18" customHeight="1"/>
  <cols>
    <col min="1" max="1" width="5.7109375" style="253" customWidth="1"/>
    <col min="2" max="2" width="27.5703125" style="245" hidden="1" customWidth="1"/>
    <col min="3" max="3" width="41" style="245" bestFit="1" customWidth="1"/>
    <col min="4" max="4" width="12.7109375" style="245" customWidth="1"/>
    <col min="5" max="5" width="36.5703125" style="245" bestFit="1" customWidth="1"/>
    <col min="6" max="6" width="10" style="245" bestFit="1" customWidth="1"/>
    <col min="7" max="7" width="5.7109375" style="245" customWidth="1"/>
    <col min="8" max="8" width="41" style="245" bestFit="1" customWidth="1"/>
    <col min="9" max="9" width="13.7109375" style="245" bestFit="1" customWidth="1"/>
    <col min="10" max="16384" width="8.7109375" style="245"/>
  </cols>
  <sheetData>
    <row r="1" spans="1:12" s="227" customFormat="1" ht="18" customHeight="1">
      <c r="A1" s="370" t="s">
        <v>556</v>
      </c>
      <c r="B1" s="228"/>
      <c r="C1" s="229"/>
      <c r="E1" s="266">
        <v>44788</v>
      </c>
      <c r="G1" s="227" t="s">
        <v>1132</v>
      </c>
      <c r="I1" s="266">
        <v>44012</v>
      </c>
    </row>
    <row r="2" spans="1:12" s="238" customFormat="1" ht="18" customHeight="1">
      <c r="A2" s="232" t="s">
        <v>261</v>
      </c>
      <c r="B2" s="233" t="s">
        <v>1</v>
      </c>
      <c r="C2" s="234" t="s">
        <v>0</v>
      </c>
      <c r="D2" s="307" t="s">
        <v>206</v>
      </c>
      <c r="E2" s="282" t="s">
        <v>2</v>
      </c>
      <c r="G2" s="232" t="s">
        <v>261</v>
      </c>
      <c r="H2" s="308" t="s">
        <v>0</v>
      </c>
      <c r="I2" s="309" t="s">
        <v>206</v>
      </c>
    </row>
    <row r="3" spans="1:12" ht="18" customHeight="1">
      <c r="A3" s="239">
        <v>1</v>
      </c>
      <c r="B3" s="241"/>
      <c r="C3" s="241" t="s">
        <v>557</v>
      </c>
      <c r="D3" s="310">
        <v>260</v>
      </c>
      <c r="E3" s="246" t="s">
        <v>16</v>
      </c>
      <c r="G3" s="239">
        <v>1</v>
      </c>
      <c r="H3" s="311" t="s">
        <v>557</v>
      </c>
      <c r="I3" s="312">
        <v>260</v>
      </c>
    </row>
    <row r="4" spans="1:12" ht="18" customHeight="1">
      <c r="A4" s="239">
        <v>2</v>
      </c>
      <c r="B4" s="241" t="s">
        <v>558</v>
      </c>
      <c r="C4" s="241" t="s">
        <v>414</v>
      </c>
      <c r="D4" s="310">
        <v>174</v>
      </c>
      <c r="E4" s="246" t="s">
        <v>16</v>
      </c>
      <c r="G4" s="239">
        <v>2</v>
      </c>
      <c r="H4" s="311" t="s">
        <v>414</v>
      </c>
      <c r="I4" s="312">
        <v>174</v>
      </c>
    </row>
    <row r="5" spans="1:12" ht="18" customHeight="1">
      <c r="A5" s="239">
        <v>3</v>
      </c>
      <c r="B5" s="241"/>
      <c r="C5" s="241" t="s">
        <v>414</v>
      </c>
      <c r="D5" s="310">
        <v>174</v>
      </c>
      <c r="E5" s="246" t="s">
        <v>16</v>
      </c>
      <c r="G5" s="239">
        <v>3</v>
      </c>
      <c r="H5" s="311" t="s">
        <v>414</v>
      </c>
      <c r="I5" s="312">
        <v>174</v>
      </c>
    </row>
    <row r="6" spans="1:12" ht="18" customHeight="1">
      <c r="A6" s="239">
        <v>4</v>
      </c>
      <c r="B6" s="241" t="s">
        <v>559</v>
      </c>
      <c r="C6" s="241" t="s">
        <v>414</v>
      </c>
      <c r="D6" s="310">
        <v>174</v>
      </c>
      <c r="E6" s="246" t="s">
        <v>16</v>
      </c>
      <c r="G6" s="239">
        <v>4</v>
      </c>
      <c r="H6" s="311" t="s">
        <v>414</v>
      </c>
      <c r="I6" s="312">
        <v>174</v>
      </c>
    </row>
    <row r="7" spans="1:12" ht="18" customHeight="1">
      <c r="A7" s="239">
        <v>5</v>
      </c>
      <c r="B7" s="241" t="s">
        <v>560</v>
      </c>
      <c r="C7" s="241" t="s">
        <v>414</v>
      </c>
      <c r="D7" s="310">
        <v>174</v>
      </c>
      <c r="E7" s="246" t="s">
        <v>16</v>
      </c>
      <c r="G7" s="239">
        <v>5</v>
      </c>
      <c r="H7" s="311" t="s">
        <v>414</v>
      </c>
      <c r="I7" s="312">
        <v>174</v>
      </c>
    </row>
    <row r="8" spans="1:12" ht="18" customHeight="1">
      <c r="A8" s="239">
        <v>6</v>
      </c>
      <c r="B8" s="241" t="s">
        <v>561</v>
      </c>
      <c r="C8" s="241" t="s">
        <v>562</v>
      </c>
      <c r="D8" s="310">
        <v>174</v>
      </c>
      <c r="E8" s="246" t="s">
        <v>16</v>
      </c>
      <c r="G8" s="239">
        <v>6</v>
      </c>
      <c r="H8" s="311" t="s">
        <v>562</v>
      </c>
      <c r="I8" s="312">
        <v>174</v>
      </c>
    </row>
    <row r="9" spans="1:12" ht="18" customHeight="1">
      <c r="A9" s="239">
        <v>7</v>
      </c>
      <c r="B9" s="241" t="s">
        <v>563</v>
      </c>
      <c r="C9" s="241" t="s">
        <v>562</v>
      </c>
      <c r="D9" s="310">
        <v>174</v>
      </c>
      <c r="E9" s="246" t="s">
        <v>16</v>
      </c>
      <c r="G9" s="239">
        <v>7</v>
      </c>
      <c r="H9" s="311" t="s">
        <v>414</v>
      </c>
      <c r="I9" s="312">
        <v>174</v>
      </c>
      <c r="J9" s="238"/>
      <c r="K9" s="238"/>
      <c r="L9" s="238"/>
    </row>
    <row r="10" spans="1:12" ht="18" customHeight="1">
      <c r="A10" s="239"/>
      <c r="B10" s="241"/>
      <c r="C10" s="241"/>
      <c r="D10" s="310"/>
      <c r="E10" s="246"/>
      <c r="G10" s="239">
        <v>8</v>
      </c>
      <c r="H10" s="311" t="s">
        <v>562</v>
      </c>
      <c r="I10" s="312">
        <v>174</v>
      </c>
      <c r="J10" s="238"/>
      <c r="K10" s="238"/>
      <c r="L10" s="238"/>
    </row>
    <row r="11" spans="1:12" s="238" customFormat="1" ht="18" customHeight="1">
      <c r="A11" s="252"/>
      <c r="B11" s="234"/>
      <c r="C11" s="234" t="s">
        <v>1131</v>
      </c>
      <c r="D11" s="313"/>
      <c r="E11" s="282"/>
      <c r="G11" s="239">
        <v>9</v>
      </c>
      <c r="H11" s="311" t="s">
        <v>557</v>
      </c>
      <c r="I11" s="312">
        <v>260</v>
      </c>
      <c r="J11" s="245"/>
      <c r="K11" s="245"/>
      <c r="L11" s="245"/>
    </row>
    <row r="12" spans="1:12" s="238" customFormat="1" ht="18" customHeight="1">
      <c r="A12" s="232" t="s">
        <v>261</v>
      </c>
      <c r="B12" s="233" t="s">
        <v>1</v>
      </c>
      <c r="C12" s="234" t="s">
        <v>0</v>
      </c>
      <c r="D12" s="307" t="s">
        <v>206</v>
      </c>
      <c r="E12" s="282" t="s">
        <v>2</v>
      </c>
      <c r="G12" s="239">
        <v>10</v>
      </c>
      <c r="H12" s="311" t="s">
        <v>557</v>
      </c>
      <c r="I12" s="312">
        <v>260</v>
      </c>
      <c r="J12" s="245"/>
      <c r="K12" s="245"/>
      <c r="L12" s="245"/>
    </row>
    <row r="13" spans="1:12" ht="18" customHeight="1" thickBot="1">
      <c r="A13" s="239">
        <v>8</v>
      </c>
      <c r="B13" s="241" t="s">
        <v>563</v>
      </c>
      <c r="C13" s="241" t="s">
        <v>562</v>
      </c>
      <c r="D13" s="310">
        <v>174</v>
      </c>
      <c r="E13" s="246" t="s">
        <v>16</v>
      </c>
      <c r="H13" s="259" t="s">
        <v>351</v>
      </c>
      <c r="I13" s="275">
        <f>SUM(I3:I12)</f>
        <v>1998</v>
      </c>
    </row>
    <row r="14" spans="1:12" ht="18" customHeight="1" thickTop="1">
      <c r="A14" s="239">
        <v>9</v>
      </c>
      <c r="B14" s="241" t="s">
        <v>563</v>
      </c>
      <c r="C14" s="241" t="s">
        <v>562</v>
      </c>
      <c r="D14" s="310">
        <v>174</v>
      </c>
      <c r="E14" s="246" t="s">
        <v>16</v>
      </c>
    </row>
    <row r="15" spans="1:12" ht="18" customHeight="1">
      <c r="A15" s="239">
        <v>10</v>
      </c>
      <c r="B15" s="241" t="s">
        <v>563</v>
      </c>
      <c r="C15" s="241" t="s">
        <v>562</v>
      </c>
      <c r="D15" s="310">
        <v>174</v>
      </c>
      <c r="E15" s="246" t="s">
        <v>16</v>
      </c>
    </row>
    <row r="16" spans="1:12" ht="18" customHeight="1">
      <c r="A16" s="239">
        <v>11</v>
      </c>
      <c r="B16" s="241" t="s">
        <v>563</v>
      </c>
      <c r="C16" s="241" t="s">
        <v>562</v>
      </c>
      <c r="D16" s="310">
        <v>174</v>
      </c>
      <c r="E16" s="246" t="s">
        <v>16</v>
      </c>
    </row>
    <row r="17" spans="1:12" ht="18" customHeight="1">
      <c r="A17" s="239">
        <v>12</v>
      </c>
      <c r="B17" s="241" t="s">
        <v>563</v>
      </c>
      <c r="C17" s="241" t="s">
        <v>562</v>
      </c>
      <c r="D17" s="310">
        <v>174</v>
      </c>
      <c r="E17" s="246" t="s">
        <v>16</v>
      </c>
      <c r="J17" s="227"/>
      <c r="K17" s="227"/>
      <c r="L17" s="227"/>
    </row>
    <row r="18" spans="1:12" ht="18" customHeight="1">
      <c r="A18" s="363">
        <v>13</v>
      </c>
      <c r="B18" s="364" t="s">
        <v>563</v>
      </c>
      <c r="C18" s="364" t="s">
        <v>562</v>
      </c>
      <c r="D18" s="365">
        <v>174</v>
      </c>
      <c r="E18" s="366" t="s">
        <v>16</v>
      </c>
      <c r="J18" s="227"/>
      <c r="K18" s="227"/>
      <c r="L18" s="227"/>
    </row>
    <row r="19" spans="1:12" ht="18" customHeight="1">
      <c r="A19" s="239"/>
      <c r="B19" s="246"/>
      <c r="C19" s="246"/>
      <c r="D19" s="312"/>
      <c r="E19" s="246"/>
      <c r="J19" s="227"/>
      <c r="K19" s="227"/>
      <c r="L19" s="227"/>
    </row>
    <row r="20" spans="1:12" ht="18" customHeight="1">
      <c r="A20" s="239"/>
      <c r="B20" s="282"/>
      <c r="C20" s="282" t="s">
        <v>1724</v>
      </c>
      <c r="D20" s="312"/>
      <c r="E20" s="246"/>
      <c r="J20" s="227"/>
      <c r="K20" s="227"/>
      <c r="L20" s="227"/>
    </row>
    <row r="21" spans="1:12" ht="18" customHeight="1">
      <c r="A21" s="239">
        <v>14</v>
      </c>
      <c r="B21" s="246"/>
      <c r="C21" s="246" t="s">
        <v>1722</v>
      </c>
      <c r="D21" s="312">
        <v>46</v>
      </c>
      <c r="E21" s="366" t="s">
        <v>16</v>
      </c>
      <c r="J21" s="227"/>
      <c r="K21" s="227"/>
      <c r="L21" s="227"/>
    </row>
    <row r="22" spans="1:12" ht="18" customHeight="1">
      <c r="A22" s="239">
        <v>15</v>
      </c>
      <c r="B22" s="246"/>
      <c r="C22" s="246" t="s">
        <v>1722</v>
      </c>
      <c r="D22" s="312">
        <v>46</v>
      </c>
      <c r="E22" s="366" t="s">
        <v>16</v>
      </c>
      <c r="J22" s="227"/>
      <c r="K22" s="227"/>
      <c r="L22" s="227"/>
    </row>
    <row r="23" spans="1:12" ht="18" customHeight="1">
      <c r="A23" s="239">
        <v>16</v>
      </c>
      <c r="B23" s="246"/>
      <c r="C23" s="246" t="s">
        <v>1722</v>
      </c>
      <c r="D23" s="312">
        <v>46</v>
      </c>
      <c r="E23" s="366" t="s">
        <v>16</v>
      </c>
      <c r="J23" s="227"/>
      <c r="K23" s="227"/>
      <c r="L23" s="227"/>
    </row>
    <row r="24" spans="1:12" ht="18" customHeight="1">
      <c r="A24" s="239">
        <v>17</v>
      </c>
      <c r="B24" s="246"/>
      <c r="C24" s="246" t="s">
        <v>1722</v>
      </c>
      <c r="D24" s="312">
        <v>46</v>
      </c>
      <c r="E24" s="366" t="s">
        <v>16</v>
      </c>
      <c r="J24" s="227"/>
      <c r="K24" s="227"/>
      <c r="L24" s="227"/>
    </row>
    <row r="25" spans="1:12" ht="18" customHeight="1">
      <c r="A25" s="239">
        <v>18</v>
      </c>
      <c r="B25" s="246"/>
      <c r="C25" s="246" t="s">
        <v>1722</v>
      </c>
      <c r="D25" s="312">
        <v>46</v>
      </c>
      <c r="E25" s="366" t="s">
        <v>16</v>
      </c>
      <c r="J25" s="227"/>
      <c r="K25" s="227"/>
      <c r="L25" s="227"/>
    </row>
    <row r="26" spans="1:12" ht="18" customHeight="1">
      <c r="A26" s="239">
        <v>19</v>
      </c>
      <c r="B26" s="246"/>
      <c r="C26" s="246" t="s">
        <v>1722</v>
      </c>
      <c r="D26" s="312">
        <v>46</v>
      </c>
      <c r="E26" s="366" t="s">
        <v>16</v>
      </c>
      <c r="J26" s="227"/>
      <c r="K26" s="227"/>
      <c r="L26" s="227"/>
    </row>
    <row r="27" spans="1:12" ht="18" customHeight="1">
      <c r="A27" s="239"/>
      <c r="B27" s="246"/>
      <c r="C27" s="246"/>
      <c r="D27" s="312"/>
      <c r="E27" s="366"/>
      <c r="J27" s="227"/>
      <c r="K27" s="227"/>
      <c r="L27" s="227"/>
    </row>
    <row r="28" spans="1:12" ht="18" customHeight="1">
      <c r="A28" s="239"/>
      <c r="B28" s="246"/>
      <c r="C28" s="282" t="s">
        <v>1727</v>
      </c>
      <c r="D28" s="312"/>
      <c r="E28" s="366"/>
      <c r="J28" s="227"/>
      <c r="K28" s="227"/>
      <c r="L28" s="227"/>
    </row>
    <row r="29" spans="1:12" ht="18" customHeight="1">
      <c r="A29" s="239">
        <v>20</v>
      </c>
      <c r="B29" s="246"/>
      <c r="C29" s="241" t="s">
        <v>562</v>
      </c>
      <c r="D29" s="312">
        <v>186</v>
      </c>
      <c r="E29" s="366" t="s">
        <v>16</v>
      </c>
      <c r="J29" s="227"/>
      <c r="K29" s="227"/>
      <c r="L29" s="227"/>
    </row>
    <row r="30" spans="1:12" ht="18" customHeight="1">
      <c r="A30" s="239">
        <v>21</v>
      </c>
      <c r="B30" s="246"/>
      <c r="C30" s="241" t="s">
        <v>562</v>
      </c>
      <c r="D30" s="312">
        <v>186</v>
      </c>
      <c r="E30" s="366" t="s">
        <v>16</v>
      </c>
      <c r="J30" s="227"/>
      <c r="K30" s="227"/>
      <c r="L30" s="227"/>
    </row>
    <row r="31" spans="1:12" ht="18" customHeight="1">
      <c r="A31" s="239">
        <v>22</v>
      </c>
      <c r="B31" s="246"/>
      <c r="C31" s="241" t="s">
        <v>562</v>
      </c>
      <c r="D31" s="312">
        <v>186</v>
      </c>
      <c r="E31" s="366" t="s">
        <v>16</v>
      </c>
      <c r="J31" s="227"/>
      <c r="K31" s="227"/>
      <c r="L31" s="227"/>
    </row>
    <row r="32" spans="1:12" ht="18" customHeight="1">
      <c r="A32" s="239">
        <v>23</v>
      </c>
      <c r="B32" s="246"/>
      <c r="C32" s="241" t="s">
        <v>562</v>
      </c>
      <c r="D32" s="312">
        <v>186</v>
      </c>
      <c r="E32" s="366" t="s">
        <v>16</v>
      </c>
      <c r="J32" s="227"/>
      <c r="K32" s="227"/>
      <c r="L32" s="227"/>
    </row>
    <row r="33" spans="1:12" ht="18" customHeight="1">
      <c r="A33" s="239">
        <v>24</v>
      </c>
      <c r="B33" s="246"/>
      <c r="C33" s="241" t="s">
        <v>562</v>
      </c>
      <c r="D33" s="312">
        <v>186</v>
      </c>
      <c r="E33" s="366" t="s">
        <v>16</v>
      </c>
      <c r="H33" s="245" t="s">
        <v>1746</v>
      </c>
      <c r="J33" s="227"/>
      <c r="K33" s="227"/>
      <c r="L33" s="227"/>
    </row>
    <row r="34" spans="1:12" ht="18" customHeight="1">
      <c r="A34" s="363">
        <v>25</v>
      </c>
      <c r="B34" s="366"/>
      <c r="C34" s="364" t="s">
        <v>562</v>
      </c>
      <c r="D34" s="369">
        <v>186</v>
      </c>
      <c r="E34" s="366" t="s">
        <v>16</v>
      </c>
      <c r="J34" s="227"/>
      <c r="K34" s="227"/>
      <c r="L34" s="227"/>
    </row>
    <row r="35" spans="1:12" ht="18" customHeight="1">
      <c r="A35" s="239"/>
      <c r="B35" s="246"/>
      <c r="C35" s="246"/>
      <c r="D35" s="312"/>
      <c r="E35" s="246"/>
      <c r="J35" s="227"/>
      <c r="K35" s="227"/>
      <c r="L35" s="227"/>
    </row>
    <row r="36" spans="1:12" ht="18" customHeight="1">
      <c r="A36" s="239"/>
      <c r="B36" s="246"/>
      <c r="C36" s="282" t="s">
        <v>1932</v>
      </c>
      <c r="D36" s="312"/>
      <c r="E36" s="366"/>
      <c r="J36" s="227"/>
      <c r="K36" s="227"/>
      <c r="L36" s="227"/>
    </row>
    <row r="37" spans="1:12" ht="18" customHeight="1">
      <c r="A37" s="239">
        <v>26</v>
      </c>
      <c r="B37" s="246"/>
      <c r="C37" s="364" t="s">
        <v>562</v>
      </c>
      <c r="D37" s="369">
        <v>205</v>
      </c>
      <c r="E37" s="366" t="s">
        <v>16</v>
      </c>
      <c r="J37" s="227"/>
      <c r="K37" s="227"/>
      <c r="L37" s="227"/>
    </row>
    <row r="38" spans="1:12" ht="18" customHeight="1">
      <c r="A38" s="239">
        <v>27</v>
      </c>
      <c r="B38" s="246"/>
      <c r="C38" s="364" t="s">
        <v>562</v>
      </c>
      <c r="D38" s="369">
        <v>205</v>
      </c>
      <c r="E38" s="366" t="s">
        <v>16</v>
      </c>
      <c r="J38" s="227"/>
      <c r="K38" s="227"/>
      <c r="L38" s="227"/>
    </row>
    <row r="39" spans="1:12" ht="18" customHeight="1">
      <c r="A39" s="239">
        <v>28</v>
      </c>
      <c r="B39" s="246"/>
      <c r="C39" s="364" t="s">
        <v>562</v>
      </c>
      <c r="D39" s="369">
        <v>205</v>
      </c>
      <c r="E39" s="366" t="s">
        <v>16</v>
      </c>
      <c r="J39" s="227"/>
      <c r="K39" s="227"/>
      <c r="L39" s="227"/>
    </row>
    <row r="40" spans="1:12" ht="18" customHeight="1">
      <c r="A40" s="239">
        <v>29</v>
      </c>
      <c r="B40" s="246"/>
      <c r="C40" s="364" t="s">
        <v>562</v>
      </c>
      <c r="D40" s="369">
        <v>205</v>
      </c>
      <c r="E40" s="366" t="s">
        <v>16</v>
      </c>
      <c r="J40" s="227"/>
      <c r="K40" s="227"/>
      <c r="L40" s="227"/>
    </row>
    <row r="41" spans="1:12" ht="18" customHeight="1">
      <c r="A41" s="239">
        <v>30</v>
      </c>
      <c r="B41" s="246"/>
      <c r="C41" s="364" t="s">
        <v>562</v>
      </c>
      <c r="D41" s="369">
        <v>205</v>
      </c>
      <c r="E41" s="366" t="s">
        <v>16</v>
      </c>
      <c r="J41" s="227"/>
      <c r="K41" s="227"/>
      <c r="L41" s="227"/>
    </row>
    <row r="42" spans="1:12" ht="18" customHeight="1">
      <c r="A42" s="239">
        <v>31</v>
      </c>
      <c r="B42" s="246"/>
      <c r="C42" s="364" t="s">
        <v>562</v>
      </c>
      <c r="D42" s="369">
        <v>205</v>
      </c>
      <c r="E42" s="366" t="s">
        <v>16</v>
      </c>
      <c r="J42" s="227"/>
      <c r="K42" s="227"/>
      <c r="L42" s="227"/>
    </row>
    <row r="43" spans="1:12" ht="18" customHeight="1">
      <c r="A43" s="239"/>
      <c r="B43" s="246"/>
      <c r="C43" s="246"/>
      <c r="D43" s="312"/>
      <c r="E43" s="246"/>
      <c r="J43" s="227"/>
      <c r="K43" s="227"/>
      <c r="L43" s="227"/>
    </row>
    <row r="44" spans="1:12" ht="18" customHeight="1">
      <c r="A44" s="239"/>
      <c r="B44" s="246"/>
      <c r="C44" s="282" t="s">
        <v>1933</v>
      </c>
      <c r="D44" s="312"/>
      <c r="E44" s="366"/>
      <c r="J44" s="227"/>
      <c r="K44" s="227"/>
      <c r="L44" s="227"/>
    </row>
    <row r="45" spans="1:12" ht="18" customHeight="1">
      <c r="A45" s="239">
        <v>32</v>
      </c>
      <c r="B45" s="246"/>
      <c r="C45" s="364" t="s">
        <v>562</v>
      </c>
      <c r="D45" s="369">
        <v>205</v>
      </c>
      <c r="E45" s="366" t="s">
        <v>16</v>
      </c>
      <c r="J45" s="227"/>
      <c r="K45" s="227"/>
      <c r="L45" s="227"/>
    </row>
    <row r="46" spans="1:12" ht="18" customHeight="1">
      <c r="A46" s="239">
        <v>33</v>
      </c>
      <c r="B46" s="246"/>
      <c r="C46" s="364" t="s">
        <v>562</v>
      </c>
      <c r="D46" s="369">
        <v>205</v>
      </c>
      <c r="E46" s="366" t="s">
        <v>16</v>
      </c>
      <c r="J46" s="227"/>
      <c r="K46" s="227"/>
      <c r="L46" s="227"/>
    </row>
    <row r="47" spans="1:12" ht="18" customHeight="1">
      <c r="A47" s="239">
        <v>34</v>
      </c>
      <c r="B47" s="246"/>
      <c r="C47" s="364" t="s">
        <v>562</v>
      </c>
      <c r="D47" s="369">
        <v>205</v>
      </c>
      <c r="E47" s="366" t="s">
        <v>16</v>
      </c>
      <c r="J47" s="227"/>
      <c r="K47" s="227"/>
      <c r="L47" s="227"/>
    </row>
    <row r="48" spans="1:12" ht="18" customHeight="1">
      <c r="A48" s="239">
        <v>35</v>
      </c>
      <c r="B48" s="246"/>
      <c r="C48" s="364" t="s">
        <v>562</v>
      </c>
      <c r="D48" s="369">
        <v>205</v>
      </c>
      <c r="E48" s="366" t="s">
        <v>16</v>
      </c>
      <c r="J48" s="227"/>
      <c r="K48" s="227"/>
      <c r="L48" s="227"/>
    </row>
    <row r="49" spans="1:12" ht="18" customHeight="1">
      <c r="A49" s="239">
        <v>36</v>
      </c>
      <c r="B49" s="246"/>
      <c r="C49" s="364" t="s">
        <v>562</v>
      </c>
      <c r="D49" s="369">
        <v>205</v>
      </c>
      <c r="E49" s="366" t="s">
        <v>16</v>
      </c>
      <c r="J49" s="227"/>
      <c r="K49" s="227"/>
      <c r="L49" s="227"/>
    </row>
    <row r="50" spans="1:12" ht="18" customHeight="1">
      <c r="A50" s="239">
        <v>37</v>
      </c>
      <c r="B50" s="246"/>
      <c r="C50" s="364" t="s">
        <v>562</v>
      </c>
      <c r="D50" s="369">
        <v>205</v>
      </c>
      <c r="E50" s="366" t="s">
        <v>16</v>
      </c>
      <c r="J50" s="227"/>
      <c r="K50" s="227"/>
      <c r="L50" s="227"/>
    </row>
    <row r="51" spans="1:12" ht="18" customHeight="1">
      <c r="A51" s="239"/>
      <c r="B51" s="246"/>
      <c r="C51" s="246"/>
      <c r="D51" s="312"/>
      <c r="E51" s="246"/>
      <c r="J51" s="227"/>
      <c r="K51" s="227"/>
      <c r="L51" s="227"/>
    </row>
    <row r="52" spans="1:12" ht="18" customHeight="1">
      <c r="A52" s="239"/>
      <c r="B52" s="246"/>
      <c r="C52" s="282" t="s">
        <v>1934</v>
      </c>
      <c r="D52" s="312"/>
      <c r="E52" s="366"/>
      <c r="J52" s="227"/>
      <c r="K52" s="227"/>
      <c r="L52" s="227"/>
    </row>
    <row r="53" spans="1:12" ht="18" customHeight="1">
      <c r="A53" s="239">
        <v>38</v>
      </c>
      <c r="B53" s="246"/>
      <c r="C53" s="364" t="s">
        <v>1935</v>
      </c>
      <c r="D53" s="369">
        <v>46</v>
      </c>
      <c r="E53" s="366" t="s">
        <v>16</v>
      </c>
      <c r="J53" s="227"/>
      <c r="K53" s="227"/>
      <c r="L53" s="227"/>
    </row>
    <row r="54" spans="1:12" ht="18" customHeight="1">
      <c r="A54" s="239">
        <v>39</v>
      </c>
      <c r="B54" s="246"/>
      <c r="C54" s="364" t="s">
        <v>1935</v>
      </c>
      <c r="D54" s="369">
        <v>46</v>
      </c>
      <c r="E54" s="366" t="s">
        <v>16</v>
      </c>
      <c r="J54" s="227"/>
      <c r="K54" s="227"/>
      <c r="L54" s="227"/>
    </row>
    <row r="55" spans="1:12" ht="18" customHeight="1">
      <c r="A55" s="239">
        <v>40</v>
      </c>
      <c r="B55" s="246"/>
      <c r="C55" s="364" t="s">
        <v>1935</v>
      </c>
      <c r="D55" s="369">
        <v>46</v>
      </c>
      <c r="E55" s="366" t="s">
        <v>16</v>
      </c>
      <c r="J55" s="227"/>
      <c r="K55" s="227"/>
      <c r="L55" s="227"/>
    </row>
    <row r="56" spans="1:12" ht="18" customHeight="1">
      <c r="A56" s="239">
        <v>41</v>
      </c>
      <c r="B56" s="246"/>
      <c r="C56" s="364" t="s">
        <v>1935</v>
      </c>
      <c r="D56" s="369">
        <v>46</v>
      </c>
      <c r="E56" s="366" t="s">
        <v>16</v>
      </c>
      <c r="J56" s="227"/>
      <c r="K56" s="227"/>
      <c r="L56" s="227"/>
    </row>
    <row r="57" spans="1:12" ht="18" customHeight="1">
      <c r="A57" s="239">
        <v>42</v>
      </c>
      <c r="B57" s="246"/>
      <c r="C57" s="364" t="s">
        <v>1935</v>
      </c>
      <c r="D57" s="369">
        <v>46</v>
      </c>
      <c r="E57" s="366" t="s">
        <v>16</v>
      </c>
      <c r="J57" s="227"/>
      <c r="K57" s="227"/>
      <c r="L57" s="227"/>
    </row>
    <row r="58" spans="1:12" ht="18" customHeight="1">
      <c r="A58" s="239">
        <v>43</v>
      </c>
      <c r="B58" s="246"/>
      <c r="C58" s="364" t="s">
        <v>1935</v>
      </c>
      <c r="D58" s="369">
        <v>46</v>
      </c>
      <c r="E58" s="366" t="s">
        <v>16</v>
      </c>
      <c r="J58" s="227"/>
      <c r="K58" s="227"/>
      <c r="L58" s="227"/>
    </row>
    <row r="59" spans="1:12" ht="18" customHeight="1">
      <c r="A59" s="239"/>
      <c r="B59" s="246"/>
      <c r="C59" s="246"/>
      <c r="D59" s="312"/>
      <c r="E59" s="246"/>
      <c r="J59" s="227"/>
      <c r="K59" s="227"/>
      <c r="L59" s="227"/>
    </row>
    <row r="60" spans="1:12" ht="18" customHeight="1">
      <c r="A60" s="239"/>
      <c r="B60" s="246"/>
      <c r="C60" s="282" t="s">
        <v>1936</v>
      </c>
      <c r="D60" s="312"/>
      <c r="E60" s="366"/>
      <c r="J60" s="227"/>
      <c r="K60" s="227"/>
      <c r="L60" s="227"/>
    </row>
    <row r="61" spans="1:12" ht="18" customHeight="1">
      <c r="A61" s="239">
        <v>44</v>
      </c>
      <c r="B61" s="246"/>
      <c r="C61" s="364" t="s">
        <v>1935</v>
      </c>
      <c r="D61" s="369">
        <v>46</v>
      </c>
      <c r="E61" s="366" t="s">
        <v>16</v>
      </c>
      <c r="J61" s="227"/>
      <c r="K61" s="227"/>
      <c r="L61" s="227"/>
    </row>
    <row r="62" spans="1:12" ht="18" customHeight="1">
      <c r="A62" s="239">
        <v>45</v>
      </c>
      <c r="B62" s="246"/>
      <c r="C62" s="364" t="s">
        <v>1935</v>
      </c>
      <c r="D62" s="369">
        <v>46</v>
      </c>
      <c r="E62" s="366" t="s">
        <v>16</v>
      </c>
      <c r="J62" s="227"/>
      <c r="K62" s="227"/>
      <c r="L62" s="227"/>
    </row>
    <row r="63" spans="1:12" ht="18" customHeight="1">
      <c r="A63" s="239">
        <v>46</v>
      </c>
      <c r="B63" s="246"/>
      <c r="C63" s="364" t="s">
        <v>1935</v>
      </c>
      <c r="D63" s="369">
        <v>46</v>
      </c>
      <c r="E63" s="366" t="s">
        <v>16</v>
      </c>
      <c r="J63" s="227"/>
      <c r="K63" s="227"/>
      <c r="L63" s="227"/>
    </row>
    <row r="64" spans="1:12" ht="18" customHeight="1">
      <c r="A64" s="239">
        <v>47</v>
      </c>
      <c r="B64" s="246"/>
      <c r="C64" s="364" t="s">
        <v>1935</v>
      </c>
      <c r="D64" s="369">
        <v>46</v>
      </c>
      <c r="E64" s="366" t="s">
        <v>16</v>
      </c>
      <c r="J64" s="227"/>
      <c r="K64" s="227"/>
      <c r="L64" s="227"/>
    </row>
    <row r="65" spans="1:12" ht="18" customHeight="1">
      <c r="A65" s="239">
        <v>48</v>
      </c>
      <c r="B65" s="246"/>
      <c r="C65" s="364" t="s">
        <v>1935</v>
      </c>
      <c r="D65" s="369">
        <v>46</v>
      </c>
      <c r="E65" s="366" t="s">
        <v>16</v>
      </c>
      <c r="J65" s="227"/>
      <c r="K65" s="227"/>
      <c r="L65" s="227"/>
    </row>
    <row r="66" spans="1:12" ht="18" customHeight="1">
      <c r="A66" s="239">
        <v>49</v>
      </c>
      <c r="B66" s="246"/>
      <c r="C66" s="364" t="s">
        <v>1935</v>
      </c>
      <c r="D66" s="369">
        <v>46</v>
      </c>
      <c r="E66" s="366" t="s">
        <v>16</v>
      </c>
      <c r="J66" s="227"/>
      <c r="K66" s="227"/>
      <c r="L66" s="227"/>
    </row>
    <row r="67" spans="1:12" ht="18" customHeight="1">
      <c r="A67" s="239">
        <v>50</v>
      </c>
      <c r="B67" s="246"/>
      <c r="C67" s="364" t="s">
        <v>1935</v>
      </c>
      <c r="D67" s="369">
        <v>46</v>
      </c>
      <c r="E67" s="366" t="s">
        <v>16</v>
      </c>
      <c r="J67" s="227"/>
      <c r="K67" s="227"/>
      <c r="L67" s="227"/>
    </row>
    <row r="68" spans="1:12" ht="18" customHeight="1">
      <c r="A68" s="239">
        <v>51</v>
      </c>
      <c r="B68" s="246"/>
      <c r="C68" s="364" t="s">
        <v>1935</v>
      </c>
      <c r="D68" s="369">
        <v>46</v>
      </c>
      <c r="E68" s="366" t="s">
        <v>16</v>
      </c>
      <c r="J68" s="227"/>
      <c r="K68" s="227"/>
      <c r="L68" s="227"/>
    </row>
    <row r="69" spans="1:12" ht="18" customHeight="1">
      <c r="A69" s="239">
        <v>52</v>
      </c>
      <c r="B69" s="246"/>
      <c r="C69" s="364" t="s">
        <v>1935</v>
      </c>
      <c r="D69" s="369">
        <v>46</v>
      </c>
      <c r="E69" s="366" t="s">
        <v>16</v>
      </c>
      <c r="J69" s="227"/>
      <c r="K69" s="227"/>
      <c r="L69" s="227"/>
    </row>
    <row r="70" spans="1:12" ht="18" customHeight="1">
      <c r="A70" s="239">
        <v>53</v>
      </c>
      <c r="B70" s="246"/>
      <c r="C70" s="364" t="s">
        <v>1935</v>
      </c>
      <c r="D70" s="369">
        <v>46</v>
      </c>
      <c r="E70" s="366" t="s">
        <v>16</v>
      </c>
      <c r="J70" s="227"/>
      <c r="K70" s="227"/>
      <c r="L70" s="227"/>
    </row>
    <row r="71" spans="1:12" ht="18" customHeight="1">
      <c r="A71" s="239"/>
      <c r="B71" s="246"/>
      <c r="C71" s="246"/>
      <c r="D71" s="312"/>
      <c r="E71" s="246"/>
      <c r="J71" s="227"/>
      <c r="K71" s="227"/>
      <c r="L71" s="227"/>
    </row>
    <row r="72" spans="1:12" ht="18" customHeight="1">
      <c r="A72" s="239"/>
      <c r="B72" s="246"/>
      <c r="C72" s="282" t="s">
        <v>1939</v>
      </c>
      <c r="D72" s="312"/>
      <c r="E72" s="366"/>
      <c r="J72" s="227"/>
      <c r="K72" s="227"/>
      <c r="L72" s="227"/>
    </row>
    <row r="73" spans="1:12" ht="18" customHeight="1">
      <c r="A73" s="239">
        <v>54</v>
      </c>
      <c r="B73" s="246"/>
      <c r="C73" s="364" t="s">
        <v>562</v>
      </c>
      <c r="D73" s="369">
        <v>200</v>
      </c>
      <c r="E73" s="366" t="s">
        <v>16</v>
      </c>
      <c r="J73" s="227"/>
      <c r="K73" s="227"/>
      <c r="L73" s="227"/>
    </row>
    <row r="74" spans="1:12" ht="18" customHeight="1">
      <c r="A74" s="239">
        <v>55</v>
      </c>
      <c r="B74" s="246"/>
      <c r="C74" s="364" t="s">
        <v>562</v>
      </c>
      <c r="D74" s="369">
        <v>200</v>
      </c>
      <c r="E74" s="366" t="s">
        <v>16</v>
      </c>
      <c r="J74" s="227"/>
      <c r="K74" s="227"/>
      <c r="L74" s="227"/>
    </row>
    <row r="75" spans="1:12" ht="18" customHeight="1">
      <c r="A75" s="239">
        <v>56</v>
      </c>
      <c r="B75" s="246"/>
      <c r="C75" s="364" t="s">
        <v>562</v>
      </c>
      <c r="D75" s="369">
        <v>200</v>
      </c>
      <c r="E75" s="366" t="s">
        <v>16</v>
      </c>
      <c r="J75" s="227"/>
      <c r="K75" s="227"/>
      <c r="L75" s="227"/>
    </row>
    <row r="76" spans="1:12" ht="18" customHeight="1">
      <c r="A76" s="239">
        <v>57</v>
      </c>
      <c r="B76" s="246"/>
      <c r="C76" s="364" t="s">
        <v>562</v>
      </c>
      <c r="D76" s="369">
        <v>200</v>
      </c>
      <c r="E76" s="366" t="s">
        <v>16</v>
      </c>
      <c r="J76" s="227"/>
      <c r="K76" s="227"/>
      <c r="L76" s="227"/>
    </row>
    <row r="77" spans="1:12" ht="18" customHeight="1">
      <c r="A77" s="239">
        <v>58</v>
      </c>
      <c r="B77" s="246"/>
      <c r="C77" s="364" t="s">
        <v>562</v>
      </c>
      <c r="D77" s="369">
        <v>200</v>
      </c>
      <c r="E77" s="366" t="s">
        <v>16</v>
      </c>
      <c r="J77" s="227"/>
      <c r="K77" s="227"/>
      <c r="L77" s="227"/>
    </row>
    <row r="78" spans="1:12" ht="18" customHeight="1">
      <c r="A78" s="239">
        <v>59</v>
      </c>
      <c r="B78" s="246"/>
      <c r="C78" s="364" t="s">
        <v>562</v>
      </c>
      <c r="D78" s="369">
        <v>200</v>
      </c>
      <c r="E78" s="366" t="s">
        <v>16</v>
      </c>
      <c r="J78" s="227"/>
      <c r="K78" s="227"/>
      <c r="L78" s="227"/>
    </row>
    <row r="79" spans="1:12" ht="18" customHeight="1">
      <c r="A79" s="239">
        <v>60</v>
      </c>
      <c r="B79" s="246"/>
      <c r="C79" s="364" t="s">
        <v>562</v>
      </c>
      <c r="D79" s="369">
        <v>200</v>
      </c>
      <c r="E79" s="366" t="s">
        <v>16</v>
      </c>
      <c r="J79" s="227"/>
      <c r="K79" s="227"/>
      <c r="L79" s="227"/>
    </row>
    <row r="80" spans="1:12" ht="18" customHeight="1">
      <c r="A80" s="239">
        <v>61</v>
      </c>
      <c r="B80" s="246"/>
      <c r="C80" s="364" t="s">
        <v>562</v>
      </c>
      <c r="D80" s="369">
        <v>200</v>
      </c>
      <c r="E80" s="366" t="s">
        <v>16</v>
      </c>
      <c r="J80" s="227"/>
      <c r="K80" s="227"/>
      <c r="L80" s="227"/>
    </row>
    <row r="81" spans="1:12" ht="18" customHeight="1">
      <c r="A81" s="239">
        <v>62</v>
      </c>
      <c r="B81" s="246"/>
      <c r="C81" s="364" t="s">
        <v>562</v>
      </c>
      <c r="D81" s="369">
        <v>200</v>
      </c>
      <c r="E81" s="366" t="s">
        <v>16</v>
      </c>
      <c r="J81" s="227"/>
      <c r="K81" s="227"/>
      <c r="L81" s="227"/>
    </row>
    <row r="82" spans="1:12" ht="18" customHeight="1">
      <c r="A82" s="239">
        <v>63</v>
      </c>
      <c r="B82" s="246"/>
      <c r="C82" s="364" t="s">
        <v>562</v>
      </c>
      <c r="D82" s="369">
        <v>200</v>
      </c>
      <c r="E82" s="366" t="s">
        <v>16</v>
      </c>
      <c r="J82" s="227"/>
      <c r="K82" s="227"/>
      <c r="L82" s="227"/>
    </row>
    <row r="83" spans="1:12" ht="18" customHeight="1">
      <c r="A83" s="239">
        <v>64</v>
      </c>
      <c r="B83" s="246"/>
      <c r="C83" s="364" t="s">
        <v>562</v>
      </c>
      <c r="D83" s="369">
        <v>200</v>
      </c>
      <c r="E83" s="366" t="s">
        <v>16</v>
      </c>
      <c r="J83" s="227"/>
      <c r="K83" s="227"/>
      <c r="L83" s="227"/>
    </row>
    <row r="84" spans="1:12" ht="18" customHeight="1">
      <c r="A84" s="239">
        <v>65</v>
      </c>
      <c r="B84" s="246"/>
      <c r="C84" s="364" t="s">
        <v>562</v>
      </c>
      <c r="D84" s="369">
        <v>200</v>
      </c>
      <c r="E84" s="366" t="s">
        <v>16</v>
      </c>
      <c r="J84" s="227"/>
      <c r="K84" s="227"/>
      <c r="L84" s="227"/>
    </row>
    <row r="85" spans="1:12" ht="18" customHeight="1">
      <c r="A85" s="239">
        <v>66</v>
      </c>
      <c r="B85" s="246"/>
      <c r="C85" s="364" t="s">
        <v>562</v>
      </c>
      <c r="D85" s="369">
        <v>200</v>
      </c>
      <c r="E85" s="366" t="s">
        <v>16</v>
      </c>
      <c r="J85" s="227"/>
      <c r="K85" s="227"/>
      <c r="L85" s="227"/>
    </row>
    <row r="86" spans="1:12" ht="18" customHeight="1">
      <c r="A86" s="239">
        <v>67</v>
      </c>
      <c r="B86" s="246"/>
      <c r="C86" s="364" t="s">
        <v>562</v>
      </c>
      <c r="D86" s="369">
        <v>200</v>
      </c>
      <c r="E86" s="366" t="s">
        <v>16</v>
      </c>
      <c r="J86" s="227"/>
      <c r="K86" s="227"/>
      <c r="L86" s="227"/>
    </row>
    <row r="87" spans="1:12" ht="18" customHeight="1">
      <c r="A87" s="239">
        <v>68</v>
      </c>
      <c r="B87" s="246"/>
      <c r="C87" s="364" t="s">
        <v>562</v>
      </c>
      <c r="D87" s="369">
        <v>200</v>
      </c>
      <c r="E87" s="366" t="s">
        <v>16</v>
      </c>
      <c r="J87" s="227"/>
      <c r="K87" s="227"/>
      <c r="L87" s="227"/>
    </row>
    <row r="88" spans="1:12" ht="18" customHeight="1">
      <c r="A88" s="239">
        <v>69</v>
      </c>
      <c r="B88" s="246"/>
      <c r="C88" s="364" t="s">
        <v>562</v>
      </c>
      <c r="D88" s="369">
        <v>200</v>
      </c>
      <c r="E88" s="366" t="s">
        <v>16</v>
      </c>
      <c r="J88" s="227"/>
      <c r="K88" s="227"/>
      <c r="L88" s="227"/>
    </row>
    <row r="89" spans="1:12" ht="18" customHeight="1">
      <c r="A89" s="239">
        <v>70</v>
      </c>
      <c r="B89" s="246"/>
      <c r="C89" s="364" t="s">
        <v>562</v>
      </c>
      <c r="D89" s="369">
        <v>200</v>
      </c>
      <c r="E89" s="366" t="s">
        <v>16</v>
      </c>
      <c r="J89" s="227"/>
      <c r="K89" s="227"/>
      <c r="L89" s="227"/>
    </row>
    <row r="90" spans="1:12" ht="18" customHeight="1">
      <c r="A90" s="239">
        <v>71</v>
      </c>
      <c r="B90" s="246"/>
      <c r="C90" s="364" t="s">
        <v>562</v>
      </c>
      <c r="D90" s="369">
        <v>200</v>
      </c>
      <c r="E90" s="366" t="s">
        <v>16</v>
      </c>
      <c r="J90" s="227"/>
      <c r="K90" s="227"/>
      <c r="L90" s="227"/>
    </row>
    <row r="91" spans="1:12" ht="18" customHeight="1">
      <c r="A91" s="363">
        <v>72</v>
      </c>
      <c r="B91" s="366"/>
      <c r="C91" s="364" t="s">
        <v>562</v>
      </c>
      <c r="D91" s="369">
        <v>200</v>
      </c>
      <c r="E91" s="366" t="s">
        <v>16</v>
      </c>
      <c r="J91" s="227"/>
      <c r="K91" s="227"/>
      <c r="L91" s="227"/>
    </row>
    <row r="92" spans="1:12" ht="18" customHeight="1">
      <c r="A92" s="239">
        <v>73</v>
      </c>
      <c r="B92" s="246"/>
      <c r="C92" s="246" t="s">
        <v>562</v>
      </c>
      <c r="D92" s="312">
        <v>200</v>
      </c>
      <c r="E92" s="246" t="s">
        <v>16</v>
      </c>
      <c r="J92" s="227"/>
      <c r="K92" s="227"/>
      <c r="L92" s="227"/>
    </row>
    <row r="93" spans="1:12" ht="18" customHeight="1" thickBot="1">
      <c r="C93" s="317" t="s">
        <v>351</v>
      </c>
      <c r="D93" s="318">
        <f>SUM(D3:D92)</f>
        <v>10936</v>
      </c>
      <c r="G93" s="227"/>
      <c r="H93" s="227"/>
      <c r="I93" s="227"/>
      <c r="J93" s="227"/>
      <c r="K93" s="227"/>
      <c r="L93" s="227"/>
    </row>
    <row r="94" spans="1:12" s="227" customFormat="1" ht="18" customHeight="1" thickTop="1">
      <c r="B94" s="228"/>
      <c r="C94" s="229"/>
      <c r="E94" s="266"/>
      <c r="J94" s="238"/>
      <c r="K94" s="238"/>
      <c r="L94" s="238"/>
    </row>
    <row r="95" spans="1:12" s="227" customFormat="1" ht="18" customHeight="1">
      <c r="B95" s="228"/>
      <c r="C95" s="229"/>
      <c r="E95" s="266"/>
      <c r="J95" s="245"/>
      <c r="K95" s="245"/>
      <c r="L95" s="245"/>
    </row>
    <row r="96" spans="1:12" s="227" customFormat="1" ht="18" customHeight="1">
      <c r="A96" s="370" t="s">
        <v>564</v>
      </c>
      <c r="B96" s="228"/>
      <c r="C96" s="229"/>
      <c r="E96" s="266"/>
      <c r="G96" s="238"/>
      <c r="H96" s="238"/>
      <c r="I96" s="238"/>
      <c r="J96" s="245"/>
      <c r="K96" s="245"/>
      <c r="L96" s="245"/>
    </row>
    <row r="97" spans="1:12" s="238" customFormat="1" ht="18" customHeight="1">
      <c r="A97" s="232" t="s">
        <v>261</v>
      </c>
      <c r="B97" s="233" t="s">
        <v>1</v>
      </c>
      <c r="C97" s="234" t="s">
        <v>0</v>
      </c>
      <c r="D97" s="307" t="s">
        <v>206</v>
      </c>
      <c r="E97" s="282" t="s">
        <v>2</v>
      </c>
      <c r="G97" s="245"/>
      <c r="H97" s="245"/>
      <c r="I97" s="245"/>
      <c r="J97" s="245"/>
      <c r="K97" s="245"/>
      <c r="L97" s="245"/>
    </row>
    <row r="98" spans="1:12" ht="18" customHeight="1">
      <c r="A98" s="239">
        <v>1</v>
      </c>
      <c r="B98" s="241"/>
      <c r="C98" s="241" t="s">
        <v>557</v>
      </c>
      <c r="D98" s="242">
        <v>260</v>
      </c>
      <c r="E98" s="246" t="s">
        <v>565</v>
      </c>
    </row>
    <row r="99" spans="1:12" ht="18" customHeight="1">
      <c r="A99" s="239">
        <v>2</v>
      </c>
      <c r="B99" s="241"/>
      <c r="C99" s="241" t="s">
        <v>557</v>
      </c>
      <c r="D99" s="242">
        <v>260</v>
      </c>
      <c r="E99" s="246" t="s">
        <v>566</v>
      </c>
    </row>
    <row r="100" spans="1:12" ht="18" customHeight="1">
      <c r="A100" s="239">
        <v>3</v>
      </c>
      <c r="B100" s="241"/>
      <c r="C100" s="241" t="s">
        <v>557</v>
      </c>
      <c r="D100" s="242">
        <v>260</v>
      </c>
      <c r="E100" s="246" t="s">
        <v>567</v>
      </c>
    </row>
    <row r="101" spans="1:12" ht="18" customHeight="1">
      <c r="A101" s="239">
        <v>4</v>
      </c>
      <c r="B101" s="241"/>
      <c r="C101" s="241" t="s">
        <v>557</v>
      </c>
      <c r="D101" s="242">
        <v>260</v>
      </c>
      <c r="E101" s="246" t="s">
        <v>565</v>
      </c>
    </row>
    <row r="102" spans="1:12" ht="18" customHeight="1">
      <c r="A102" s="239">
        <v>5</v>
      </c>
      <c r="B102" s="241"/>
      <c r="C102" s="241" t="s">
        <v>557</v>
      </c>
      <c r="D102" s="242">
        <v>260</v>
      </c>
      <c r="E102" s="246" t="s">
        <v>566</v>
      </c>
    </row>
    <row r="103" spans="1:12" ht="18" customHeight="1">
      <c r="A103" s="239">
        <v>6</v>
      </c>
      <c r="B103" s="241"/>
      <c r="C103" s="241" t="s">
        <v>557</v>
      </c>
      <c r="D103" s="242">
        <v>260</v>
      </c>
      <c r="E103" s="246" t="s">
        <v>567</v>
      </c>
    </row>
    <row r="104" spans="1:12" ht="18" customHeight="1">
      <c r="A104" s="239">
        <v>7</v>
      </c>
      <c r="B104" s="241" t="s">
        <v>561</v>
      </c>
      <c r="C104" s="241" t="s">
        <v>562</v>
      </c>
      <c r="D104" s="310">
        <v>174</v>
      </c>
      <c r="E104" s="246" t="s">
        <v>972</v>
      </c>
    </row>
    <row r="105" spans="1:12" ht="18" customHeight="1">
      <c r="A105" s="239">
        <v>8</v>
      </c>
      <c r="B105" s="241" t="s">
        <v>563</v>
      </c>
      <c r="C105" s="241" t="s">
        <v>562</v>
      </c>
      <c r="D105" s="310">
        <v>174</v>
      </c>
      <c r="E105" s="246" t="s">
        <v>973</v>
      </c>
    </row>
    <row r="106" spans="1:12" ht="18" customHeight="1">
      <c r="A106" s="239">
        <v>9</v>
      </c>
      <c r="B106" s="241"/>
      <c r="C106" s="241" t="s">
        <v>557</v>
      </c>
      <c r="D106" s="310">
        <v>260</v>
      </c>
      <c r="E106" s="246" t="s">
        <v>974</v>
      </c>
    </row>
    <row r="107" spans="1:12" ht="18" customHeight="1">
      <c r="A107" s="239">
        <v>10</v>
      </c>
      <c r="B107" s="241" t="s">
        <v>412</v>
      </c>
      <c r="C107" s="241" t="s">
        <v>414</v>
      </c>
      <c r="D107" s="310">
        <v>174</v>
      </c>
      <c r="E107" s="246" t="s">
        <v>555</v>
      </c>
    </row>
    <row r="108" spans="1:12" ht="18" customHeight="1">
      <c r="A108" s="239">
        <v>11</v>
      </c>
      <c r="B108" s="241" t="s">
        <v>413</v>
      </c>
      <c r="C108" s="241" t="s">
        <v>414</v>
      </c>
      <c r="D108" s="310">
        <v>174</v>
      </c>
      <c r="E108" s="246" t="s">
        <v>555</v>
      </c>
    </row>
    <row r="109" spans="1:12" ht="18" customHeight="1">
      <c r="A109" s="239">
        <v>12</v>
      </c>
      <c r="B109" s="241" t="s">
        <v>407</v>
      </c>
      <c r="C109" s="241" t="s">
        <v>414</v>
      </c>
      <c r="D109" s="310">
        <v>174</v>
      </c>
      <c r="E109" s="246" t="s">
        <v>553</v>
      </c>
    </row>
    <row r="110" spans="1:12" ht="18" customHeight="1">
      <c r="A110" s="239">
        <v>13</v>
      </c>
      <c r="B110" s="241" t="s">
        <v>408</v>
      </c>
      <c r="C110" s="241" t="s">
        <v>414</v>
      </c>
      <c r="D110" s="310">
        <v>174</v>
      </c>
      <c r="E110" s="246" t="s">
        <v>975</v>
      </c>
    </row>
    <row r="111" spans="1:12" ht="18" customHeight="1">
      <c r="A111" s="239">
        <v>14</v>
      </c>
      <c r="B111" s="241" t="s">
        <v>409</v>
      </c>
      <c r="C111" s="241" t="s">
        <v>414</v>
      </c>
      <c r="D111" s="310">
        <v>174</v>
      </c>
      <c r="E111" s="246" t="s">
        <v>976</v>
      </c>
    </row>
    <row r="112" spans="1:12" ht="18" customHeight="1">
      <c r="A112" s="239">
        <v>15</v>
      </c>
      <c r="B112" s="241" t="s">
        <v>411</v>
      </c>
      <c r="C112" s="241" t="s">
        <v>414</v>
      </c>
      <c r="D112" s="242">
        <v>174</v>
      </c>
      <c r="E112" s="246" t="s">
        <v>977</v>
      </c>
    </row>
    <row r="113" spans="1:8" ht="18" customHeight="1">
      <c r="A113" s="239">
        <v>16</v>
      </c>
      <c r="B113" s="241" t="s">
        <v>410</v>
      </c>
      <c r="C113" s="241" t="s">
        <v>414</v>
      </c>
      <c r="D113" s="242">
        <v>174</v>
      </c>
      <c r="E113" s="246" t="s">
        <v>978</v>
      </c>
      <c r="G113" s="227"/>
      <c r="H113" s="227"/>
    </row>
    <row r="114" spans="1:8" ht="18" customHeight="1">
      <c r="A114" s="239">
        <v>17</v>
      </c>
      <c r="B114" s="241"/>
      <c r="C114" s="241" t="s">
        <v>562</v>
      </c>
      <c r="D114" s="242">
        <v>174</v>
      </c>
      <c r="E114" s="246" t="s">
        <v>979</v>
      </c>
      <c r="F114" s="227"/>
      <c r="G114" s="238"/>
      <c r="H114" s="238"/>
    </row>
    <row r="115" spans="1:8" ht="18" customHeight="1">
      <c r="A115" s="239">
        <v>18</v>
      </c>
      <c r="B115" s="241"/>
      <c r="C115" s="241" t="s">
        <v>562</v>
      </c>
      <c r="D115" s="242">
        <v>174</v>
      </c>
      <c r="E115" s="246" t="s">
        <v>980</v>
      </c>
      <c r="F115" s="238"/>
    </row>
    <row r="116" spans="1:8" ht="18" customHeight="1">
      <c r="A116" s="239">
        <v>19</v>
      </c>
      <c r="B116" s="241"/>
      <c r="C116" s="241" t="s">
        <v>562</v>
      </c>
      <c r="D116" s="242">
        <v>174</v>
      </c>
      <c r="E116" s="246" t="s">
        <v>981</v>
      </c>
    </row>
    <row r="117" spans="1:8" ht="18" customHeight="1">
      <c r="A117" s="239">
        <v>20</v>
      </c>
      <c r="B117" s="241"/>
      <c r="C117" s="241" t="s">
        <v>562</v>
      </c>
      <c r="D117" s="242">
        <v>174</v>
      </c>
      <c r="E117" s="246" t="s">
        <v>982</v>
      </c>
    </row>
    <row r="118" spans="1:8" ht="18" customHeight="1">
      <c r="A118" s="239">
        <v>21</v>
      </c>
      <c r="B118" s="241"/>
      <c r="C118" s="241" t="s">
        <v>562</v>
      </c>
      <c r="D118" s="242">
        <v>174</v>
      </c>
      <c r="E118" s="246" t="s">
        <v>983</v>
      </c>
    </row>
    <row r="119" spans="1:8" ht="18" customHeight="1">
      <c r="A119" s="239">
        <v>22</v>
      </c>
      <c r="B119" s="241"/>
      <c r="C119" s="241" t="s">
        <v>562</v>
      </c>
      <c r="D119" s="242">
        <v>174</v>
      </c>
      <c r="E119" s="246" t="s">
        <v>984</v>
      </c>
    </row>
    <row r="120" spans="1:8" ht="18" customHeight="1">
      <c r="A120" s="239">
        <v>23</v>
      </c>
      <c r="B120" s="241"/>
      <c r="C120" s="241" t="s">
        <v>562</v>
      </c>
      <c r="D120" s="242">
        <v>174</v>
      </c>
      <c r="E120" s="246" t="s">
        <v>985</v>
      </c>
    </row>
    <row r="121" spans="1:8" ht="18" customHeight="1">
      <c r="A121" s="239">
        <v>24</v>
      </c>
      <c r="B121" s="241"/>
      <c r="C121" s="241" t="s">
        <v>562</v>
      </c>
      <c r="D121" s="242">
        <v>174</v>
      </c>
      <c r="E121" s="246" t="s">
        <v>977</v>
      </c>
    </row>
    <row r="122" spans="1:8" ht="18" customHeight="1">
      <c r="A122" s="239">
        <v>25</v>
      </c>
      <c r="B122" s="241"/>
      <c r="C122" s="241" t="s">
        <v>562</v>
      </c>
      <c r="D122" s="242">
        <v>174</v>
      </c>
      <c r="E122" s="246" t="s">
        <v>978</v>
      </c>
    </row>
    <row r="123" spans="1:8" ht="18" customHeight="1">
      <c r="A123" s="239">
        <v>26</v>
      </c>
      <c r="B123" s="241"/>
      <c r="C123" s="241" t="s">
        <v>562</v>
      </c>
      <c r="D123" s="242">
        <v>174</v>
      </c>
      <c r="E123" s="246" t="s">
        <v>979</v>
      </c>
    </row>
    <row r="124" spans="1:8" ht="18" customHeight="1">
      <c r="A124" s="239">
        <v>27</v>
      </c>
      <c r="B124" s="241"/>
      <c r="C124" s="241" t="s">
        <v>562</v>
      </c>
      <c r="D124" s="242">
        <v>174</v>
      </c>
      <c r="E124" s="246" t="s">
        <v>980</v>
      </c>
    </row>
    <row r="125" spans="1:8" ht="18" customHeight="1">
      <c r="A125" s="239">
        <v>28</v>
      </c>
      <c r="B125" s="241"/>
      <c r="C125" s="241" t="s">
        <v>562</v>
      </c>
      <c r="D125" s="242">
        <v>174</v>
      </c>
      <c r="E125" s="246" t="s">
        <v>981</v>
      </c>
    </row>
    <row r="126" spans="1:8" ht="18" customHeight="1">
      <c r="A126" s="239">
        <v>29</v>
      </c>
      <c r="B126" s="241"/>
      <c r="C126" s="241" t="s">
        <v>562</v>
      </c>
      <c r="D126" s="242">
        <v>174</v>
      </c>
      <c r="E126" s="246" t="s">
        <v>982</v>
      </c>
    </row>
    <row r="127" spans="1:8" ht="18" customHeight="1">
      <c r="A127" s="239">
        <v>30</v>
      </c>
      <c r="B127" s="241"/>
      <c r="C127" s="241" t="s">
        <v>562</v>
      </c>
      <c r="D127" s="242">
        <v>174</v>
      </c>
      <c r="E127" s="246" t="s">
        <v>983</v>
      </c>
    </row>
    <row r="128" spans="1:8" ht="18" customHeight="1">
      <c r="A128" s="239">
        <v>31</v>
      </c>
      <c r="B128" s="241"/>
      <c r="C128" s="241" t="s">
        <v>562</v>
      </c>
      <c r="D128" s="242">
        <v>174</v>
      </c>
      <c r="E128" s="246" t="s">
        <v>984</v>
      </c>
    </row>
    <row r="129" spans="1:5" ht="18" customHeight="1">
      <c r="A129" s="239">
        <v>32</v>
      </c>
      <c r="B129" s="241"/>
      <c r="C129" s="241" t="s">
        <v>562</v>
      </c>
      <c r="D129" s="242">
        <v>174</v>
      </c>
      <c r="E129" s="246" t="s">
        <v>985</v>
      </c>
    </row>
    <row r="130" spans="1:5" ht="18" customHeight="1">
      <c r="A130" s="252"/>
      <c r="B130" s="234"/>
      <c r="C130" s="234" t="s">
        <v>1131</v>
      </c>
      <c r="D130" s="313"/>
      <c r="E130" s="282"/>
    </row>
    <row r="131" spans="1:5" ht="18" customHeight="1">
      <c r="A131" s="239">
        <v>14</v>
      </c>
      <c r="B131" s="241" t="s">
        <v>563</v>
      </c>
      <c r="C131" s="241" t="s">
        <v>562</v>
      </c>
      <c r="D131" s="310">
        <v>174</v>
      </c>
      <c r="E131" s="246" t="s">
        <v>1163</v>
      </c>
    </row>
    <row r="132" spans="1:5" ht="18" customHeight="1">
      <c r="A132" s="239">
        <v>15</v>
      </c>
      <c r="B132" s="241" t="s">
        <v>563</v>
      </c>
      <c r="C132" s="241" t="s">
        <v>562</v>
      </c>
      <c r="D132" s="310">
        <v>174</v>
      </c>
      <c r="E132" s="246" t="s">
        <v>1163</v>
      </c>
    </row>
    <row r="133" spans="1:5" ht="18" customHeight="1">
      <c r="A133" s="239">
        <v>16</v>
      </c>
      <c r="B133" s="241" t="s">
        <v>563</v>
      </c>
      <c r="C133" s="241" t="s">
        <v>562</v>
      </c>
      <c r="D133" s="310">
        <v>174</v>
      </c>
      <c r="E133" s="246" t="s">
        <v>1162</v>
      </c>
    </row>
    <row r="134" spans="1:5" ht="18" customHeight="1">
      <c r="A134" s="363">
        <v>17</v>
      </c>
      <c r="B134" s="364" t="s">
        <v>563</v>
      </c>
      <c r="C134" s="364" t="s">
        <v>562</v>
      </c>
      <c r="D134" s="365">
        <v>174</v>
      </c>
      <c r="E134" s="366" t="s">
        <v>1162</v>
      </c>
    </row>
    <row r="135" spans="1:5" ht="18" customHeight="1">
      <c r="A135" s="252"/>
      <c r="B135" s="282"/>
      <c r="C135" s="282" t="s">
        <v>1721</v>
      </c>
      <c r="D135" s="367"/>
      <c r="E135" s="282"/>
    </row>
    <row r="136" spans="1:5" ht="18" customHeight="1">
      <c r="A136" s="239">
        <v>18</v>
      </c>
      <c r="B136" s="282"/>
      <c r="C136" s="246" t="s">
        <v>1725</v>
      </c>
      <c r="D136" s="312">
        <v>46</v>
      </c>
      <c r="E136" s="246" t="s">
        <v>1723</v>
      </c>
    </row>
    <row r="137" spans="1:5" ht="18" customHeight="1">
      <c r="A137" s="239">
        <v>19</v>
      </c>
      <c r="B137" s="282"/>
      <c r="C137" s="246" t="s">
        <v>1725</v>
      </c>
      <c r="D137" s="312">
        <v>46</v>
      </c>
      <c r="E137" s="246" t="s">
        <v>1723</v>
      </c>
    </row>
    <row r="138" spans="1:5" ht="18" customHeight="1">
      <c r="A138" s="239">
        <v>20</v>
      </c>
      <c r="B138" s="282"/>
      <c r="C138" s="246" t="s">
        <v>1725</v>
      </c>
      <c r="D138" s="312">
        <v>46</v>
      </c>
      <c r="E138" s="246" t="s">
        <v>1723</v>
      </c>
    </row>
    <row r="139" spans="1:5" ht="18" customHeight="1">
      <c r="A139" s="239">
        <v>21</v>
      </c>
      <c r="B139" s="282"/>
      <c r="C139" s="246" t="s">
        <v>1725</v>
      </c>
      <c r="D139" s="312">
        <v>46</v>
      </c>
      <c r="E139" s="246" t="s">
        <v>1723</v>
      </c>
    </row>
    <row r="140" spans="1:5" ht="18" customHeight="1">
      <c r="A140" s="239">
        <v>22</v>
      </c>
      <c r="B140" s="282"/>
      <c r="C140" s="246" t="s">
        <v>1725</v>
      </c>
      <c r="D140" s="312">
        <v>46</v>
      </c>
      <c r="E140" s="246" t="s">
        <v>1723</v>
      </c>
    </row>
    <row r="141" spans="1:5" ht="18" customHeight="1">
      <c r="A141" s="239">
        <v>23</v>
      </c>
      <c r="B141" s="282"/>
      <c r="C141" s="246" t="s">
        <v>1725</v>
      </c>
      <c r="D141" s="312">
        <v>46</v>
      </c>
      <c r="E141" s="246" t="s">
        <v>1723</v>
      </c>
    </row>
    <row r="142" spans="1:5" ht="18" customHeight="1">
      <c r="A142" s="239">
        <v>24</v>
      </c>
      <c r="B142" s="282"/>
      <c r="C142" s="246" t="s">
        <v>1725</v>
      </c>
      <c r="D142" s="312">
        <v>46</v>
      </c>
      <c r="E142" s="246" t="s">
        <v>1723</v>
      </c>
    </row>
    <row r="143" spans="1:5" ht="18" customHeight="1">
      <c r="A143" s="239">
        <v>25</v>
      </c>
      <c r="B143" s="282"/>
      <c r="C143" s="246" t="s">
        <v>1725</v>
      </c>
      <c r="D143" s="312">
        <v>46</v>
      </c>
      <c r="E143" s="246" t="s">
        <v>1723</v>
      </c>
    </row>
    <row r="144" spans="1:5" ht="18" customHeight="1">
      <c r="A144" s="239">
        <v>26</v>
      </c>
      <c r="B144" s="282"/>
      <c r="C144" s="246" t="s">
        <v>1725</v>
      </c>
      <c r="D144" s="312">
        <v>46</v>
      </c>
      <c r="E144" s="246" t="s">
        <v>1723</v>
      </c>
    </row>
    <row r="145" spans="1:5" ht="18" customHeight="1">
      <c r="A145" s="239">
        <v>27</v>
      </c>
      <c r="B145" s="282"/>
      <c r="C145" s="246" t="s">
        <v>1725</v>
      </c>
      <c r="D145" s="312">
        <v>46</v>
      </c>
      <c r="E145" s="246" t="s">
        <v>1723</v>
      </c>
    </row>
    <row r="146" spans="1:5" ht="18" customHeight="1">
      <c r="A146" s="239"/>
      <c r="B146" s="282"/>
      <c r="C146" s="282" t="s">
        <v>1724</v>
      </c>
      <c r="D146" s="312"/>
      <c r="E146" s="246"/>
    </row>
    <row r="147" spans="1:5" ht="18" customHeight="1">
      <c r="A147" s="239">
        <v>28</v>
      </c>
      <c r="B147" s="282"/>
      <c r="C147" s="246" t="s">
        <v>1725</v>
      </c>
      <c r="D147" s="312">
        <v>46</v>
      </c>
      <c r="E147" s="246" t="s">
        <v>1723</v>
      </c>
    </row>
    <row r="148" spans="1:5" ht="18" customHeight="1">
      <c r="A148" s="239">
        <v>29</v>
      </c>
      <c r="B148" s="282"/>
      <c r="C148" s="246" t="s">
        <v>1725</v>
      </c>
      <c r="D148" s="312">
        <v>46</v>
      </c>
      <c r="E148" s="246" t="s">
        <v>1723</v>
      </c>
    </row>
    <row r="149" spans="1:5" ht="18" customHeight="1">
      <c r="A149" s="239">
        <v>30</v>
      </c>
      <c r="B149" s="282"/>
      <c r="C149" s="246" t="s">
        <v>1725</v>
      </c>
      <c r="D149" s="312">
        <v>46</v>
      </c>
      <c r="E149" s="246" t="s">
        <v>1723</v>
      </c>
    </row>
    <row r="150" spans="1:5" ht="18" customHeight="1">
      <c r="A150" s="239">
        <v>31</v>
      </c>
      <c r="B150" s="282"/>
      <c r="C150" s="246" t="s">
        <v>1725</v>
      </c>
      <c r="D150" s="312">
        <v>46</v>
      </c>
      <c r="E150" s="246" t="s">
        <v>1723</v>
      </c>
    </row>
    <row r="151" spans="1:5" ht="18" customHeight="1">
      <c r="A151" s="239"/>
      <c r="B151" s="282"/>
      <c r="C151" s="282" t="s">
        <v>1726</v>
      </c>
      <c r="D151" s="312"/>
      <c r="E151" s="246"/>
    </row>
    <row r="152" spans="1:5" ht="18" customHeight="1">
      <c r="A152" s="239">
        <v>32</v>
      </c>
      <c r="B152" s="282"/>
      <c r="C152" s="246" t="s">
        <v>1725</v>
      </c>
      <c r="D152" s="312">
        <v>46</v>
      </c>
      <c r="E152" s="246" t="s">
        <v>1624</v>
      </c>
    </row>
    <row r="153" spans="1:5" ht="18" customHeight="1">
      <c r="A153" s="239">
        <v>33</v>
      </c>
      <c r="B153" s="282"/>
      <c r="C153" s="246" t="s">
        <v>1725</v>
      </c>
      <c r="D153" s="312">
        <v>46</v>
      </c>
      <c r="E153" s="246" t="s">
        <v>1624</v>
      </c>
    </row>
    <row r="154" spans="1:5" ht="18" customHeight="1">
      <c r="A154" s="239">
        <v>34</v>
      </c>
      <c r="B154" s="282"/>
      <c r="C154" s="246" t="s">
        <v>1725</v>
      </c>
      <c r="D154" s="312">
        <v>46</v>
      </c>
      <c r="E154" s="246" t="s">
        <v>1624</v>
      </c>
    </row>
    <row r="155" spans="1:5" ht="18" customHeight="1">
      <c r="A155" s="239">
        <v>35</v>
      </c>
      <c r="B155" s="282"/>
      <c r="C155" s="246" t="s">
        <v>1725</v>
      </c>
      <c r="D155" s="312">
        <v>46</v>
      </c>
      <c r="E155" s="246" t="s">
        <v>1624</v>
      </c>
    </row>
    <row r="156" spans="1:5" ht="18" customHeight="1">
      <c r="A156" s="239">
        <v>36</v>
      </c>
      <c r="B156" s="282"/>
      <c r="C156" s="246" t="s">
        <v>1725</v>
      </c>
      <c r="D156" s="312">
        <v>46</v>
      </c>
      <c r="E156" s="246" t="s">
        <v>1624</v>
      </c>
    </row>
    <row r="157" spans="1:5" ht="18" customHeight="1">
      <c r="A157" s="239">
        <v>37</v>
      </c>
      <c r="B157" s="282"/>
      <c r="C157" s="246" t="s">
        <v>1725</v>
      </c>
      <c r="D157" s="312">
        <v>46</v>
      </c>
      <c r="E157" s="246" t="s">
        <v>1624</v>
      </c>
    </row>
    <row r="158" spans="1:5" ht="18" customHeight="1">
      <c r="A158" s="239">
        <v>38</v>
      </c>
      <c r="B158" s="282"/>
      <c r="C158" s="246" t="s">
        <v>1725</v>
      </c>
      <c r="D158" s="312">
        <v>46</v>
      </c>
      <c r="E158" s="246" t="s">
        <v>1624</v>
      </c>
    </row>
    <row r="159" spans="1:5" ht="18" customHeight="1">
      <c r="A159" s="239">
        <v>39</v>
      </c>
      <c r="B159" s="282"/>
      <c r="C159" s="246" t="s">
        <v>1725</v>
      </c>
      <c r="D159" s="312">
        <v>46</v>
      </c>
      <c r="E159" s="246" t="s">
        <v>1624</v>
      </c>
    </row>
    <row r="160" spans="1:5" ht="18" customHeight="1">
      <c r="A160" s="239">
        <v>40</v>
      </c>
      <c r="B160" s="282"/>
      <c r="C160" s="246" t="s">
        <v>1725</v>
      </c>
      <c r="D160" s="312">
        <v>46</v>
      </c>
      <c r="E160" s="246" t="s">
        <v>1624</v>
      </c>
    </row>
    <row r="161" spans="1:5" ht="18" customHeight="1">
      <c r="A161" s="239">
        <v>41</v>
      </c>
      <c r="B161" s="282"/>
      <c r="C161" s="246" t="s">
        <v>1725</v>
      </c>
      <c r="D161" s="312">
        <v>46</v>
      </c>
      <c r="E161" s="246" t="s">
        <v>1624</v>
      </c>
    </row>
    <row r="162" spans="1:5" ht="18" customHeight="1">
      <c r="A162" s="239">
        <v>42</v>
      </c>
      <c r="B162" s="282"/>
      <c r="C162" s="246" t="s">
        <v>1725</v>
      </c>
      <c r="D162" s="312">
        <v>46</v>
      </c>
      <c r="E162" s="246" t="s">
        <v>1624</v>
      </c>
    </row>
    <row r="163" spans="1:5" ht="18" customHeight="1">
      <c r="A163" s="239">
        <v>43</v>
      </c>
      <c r="B163" s="282"/>
      <c r="C163" s="246" t="s">
        <v>1725</v>
      </c>
      <c r="D163" s="312">
        <v>46</v>
      </c>
      <c r="E163" s="246" t="s">
        <v>1624</v>
      </c>
    </row>
    <row r="164" spans="1:5" ht="18" customHeight="1">
      <c r="A164" s="239">
        <v>44</v>
      </c>
      <c r="B164" s="282"/>
      <c r="C164" s="246" t="s">
        <v>1725</v>
      </c>
      <c r="D164" s="312">
        <v>46</v>
      </c>
      <c r="E164" s="246" t="s">
        <v>1624</v>
      </c>
    </row>
    <row r="165" spans="1:5" ht="18" customHeight="1">
      <c r="A165" s="239">
        <v>45</v>
      </c>
      <c r="B165" s="282"/>
      <c r="C165" s="246" t="s">
        <v>1725</v>
      </c>
      <c r="D165" s="312">
        <v>46</v>
      </c>
      <c r="E165" s="246" t="s">
        <v>1624</v>
      </c>
    </row>
    <row r="166" spans="1:5" ht="18" customHeight="1">
      <c r="A166" s="239">
        <v>46</v>
      </c>
      <c r="B166" s="282"/>
      <c r="C166" s="246" t="s">
        <v>1725</v>
      </c>
      <c r="D166" s="312">
        <v>46</v>
      </c>
      <c r="E166" s="246" t="s">
        <v>1624</v>
      </c>
    </row>
    <row r="167" spans="1:5" ht="18" customHeight="1">
      <c r="A167" s="239">
        <v>47</v>
      </c>
      <c r="B167" s="282"/>
      <c r="C167" s="246" t="s">
        <v>1725</v>
      </c>
      <c r="D167" s="312">
        <v>46</v>
      </c>
      <c r="E167" s="246" t="s">
        <v>1624</v>
      </c>
    </row>
    <row r="168" spans="1:5" ht="18" customHeight="1">
      <c r="A168" s="239">
        <v>48</v>
      </c>
      <c r="B168" s="282"/>
      <c r="C168" s="246" t="s">
        <v>1725</v>
      </c>
      <c r="D168" s="312">
        <v>46</v>
      </c>
      <c r="E168" s="246" t="s">
        <v>1624</v>
      </c>
    </row>
    <row r="169" spans="1:5" ht="18" customHeight="1">
      <c r="A169" s="239">
        <v>49</v>
      </c>
      <c r="B169" s="282"/>
      <c r="C169" s="246" t="s">
        <v>1725</v>
      </c>
      <c r="D169" s="312">
        <v>46</v>
      </c>
      <c r="E169" s="246" t="s">
        <v>1624</v>
      </c>
    </row>
    <row r="170" spans="1:5" ht="18" customHeight="1">
      <c r="A170" s="239">
        <v>50</v>
      </c>
      <c r="B170" s="282"/>
      <c r="C170" s="246" t="s">
        <v>1725</v>
      </c>
      <c r="D170" s="312">
        <v>46</v>
      </c>
      <c r="E170" s="246" t="s">
        <v>1624</v>
      </c>
    </row>
    <row r="171" spans="1:5" ht="18" customHeight="1">
      <c r="A171" s="239">
        <v>51</v>
      </c>
      <c r="B171" s="282"/>
      <c r="C171" s="246" t="s">
        <v>1725</v>
      </c>
      <c r="D171" s="312">
        <v>46</v>
      </c>
      <c r="E171" s="246" t="s">
        <v>1624</v>
      </c>
    </row>
    <row r="172" spans="1:5" ht="18" customHeight="1">
      <c r="A172" s="239">
        <v>52</v>
      </c>
      <c r="B172" s="282"/>
      <c r="C172" s="246" t="s">
        <v>1725</v>
      </c>
      <c r="D172" s="312">
        <v>46</v>
      </c>
      <c r="E172" s="246" t="s">
        <v>1624</v>
      </c>
    </row>
    <row r="173" spans="1:5" ht="18" customHeight="1">
      <c r="A173" s="239">
        <v>53</v>
      </c>
      <c r="B173" s="282"/>
      <c r="C173" s="246" t="s">
        <v>1725</v>
      </c>
      <c r="D173" s="312">
        <v>46</v>
      </c>
      <c r="E173" s="246" t="s">
        <v>1624</v>
      </c>
    </row>
    <row r="174" spans="1:5" ht="18" customHeight="1">
      <c r="A174" s="239">
        <v>54</v>
      </c>
      <c r="B174" s="282"/>
      <c r="C174" s="246" t="s">
        <v>1725</v>
      </c>
      <c r="D174" s="312">
        <v>46</v>
      </c>
      <c r="E174" s="246" t="s">
        <v>1624</v>
      </c>
    </row>
    <row r="175" spans="1:5" ht="18" customHeight="1">
      <c r="A175" s="239">
        <v>55</v>
      </c>
      <c r="B175" s="282"/>
      <c r="C175" s="246" t="s">
        <v>1725</v>
      </c>
      <c r="D175" s="312">
        <v>46</v>
      </c>
      <c r="E175" s="246" t="s">
        <v>1624</v>
      </c>
    </row>
    <row r="176" spans="1:5" ht="18" customHeight="1">
      <c r="A176" s="239">
        <v>56</v>
      </c>
      <c r="B176" s="282"/>
      <c r="C176" s="246" t="s">
        <v>1725</v>
      </c>
      <c r="D176" s="312">
        <v>46</v>
      </c>
      <c r="E176" s="246" t="s">
        <v>1624</v>
      </c>
    </row>
    <row r="177" spans="1:5" ht="18" customHeight="1">
      <c r="A177" s="239">
        <v>57</v>
      </c>
      <c r="B177" s="282"/>
      <c r="C177" s="246" t="s">
        <v>1725</v>
      </c>
      <c r="D177" s="312">
        <v>46</v>
      </c>
      <c r="E177" s="246" t="s">
        <v>1624</v>
      </c>
    </row>
    <row r="178" spans="1:5" ht="18" customHeight="1">
      <c r="A178" s="239">
        <v>58</v>
      </c>
      <c r="B178" s="282"/>
      <c r="C178" s="246" t="s">
        <v>1725</v>
      </c>
      <c r="D178" s="312">
        <v>46</v>
      </c>
      <c r="E178" s="246" t="s">
        <v>1624</v>
      </c>
    </row>
    <row r="179" spans="1:5" ht="18" customHeight="1">
      <c r="A179" s="239">
        <v>59</v>
      </c>
      <c r="B179" s="282"/>
      <c r="C179" s="246" t="s">
        <v>1725</v>
      </c>
      <c r="D179" s="312">
        <v>46</v>
      </c>
      <c r="E179" s="246" t="s">
        <v>1624</v>
      </c>
    </row>
    <row r="180" spans="1:5" ht="18" customHeight="1">
      <c r="A180" s="239">
        <v>60</v>
      </c>
      <c r="B180" s="282"/>
      <c r="C180" s="246" t="s">
        <v>1725</v>
      </c>
      <c r="D180" s="312">
        <v>46</v>
      </c>
      <c r="E180" s="246" t="s">
        <v>1624</v>
      </c>
    </row>
    <row r="181" spans="1:5" ht="18" customHeight="1">
      <c r="A181" s="239">
        <v>61</v>
      </c>
      <c r="B181" s="282"/>
      <c r="C181" s="246" t="s">
        <v>1725</v>
      </c>
      <c r="D181" s="312">
        <v>46</v>
      </c>
      <c r="E181" s="246" t="s">
        <v>1624</v>
      </c>
    </row>
    <row r="182" spans="1:5" ht="18" customHeight="1">
      <c r="A182" s="252"/>
      <c r="B182" s="282"/>
      <c r="C182" s="246"/>
      <c r="D182" s="312"/>
      <c r="E182" s="246"/>
    </row>
    <row r="183" spans="1:5" ht="18" customHeight="1">
      <c r="A183" s="252"/>
      <c r="B183" s="282"/>
      <c r="C183" s="282" t="s">
        <v>1728</v>
      </c>
      <c r="D183" s="312"/>
      <c r="E183" s="246"/>
    </row>
    <row r="184" spans="1:5" ht="18" customHeight="1">
      <c r="A184" s="239">
        <v>62</v>
      </c>
      <c r="B184" s="282"/>
      <c r="C184" s="246" t="s">
        <v>1725</v>
      </c>
      <c r="D184" s="312">
        <v>45</v>
      </c>
      <c r="E184" s="246" t="s">
        <v>1624</v>
      </c>
    </row>
    <row r="185" spans="1:5" ht="18" customHeight="1">
      <c r="A185" s="239">
        <v>63</v>
      </c>
      <c r="B185" s="282"/>
      <c r="C185" s="246" t="s">
        <v>1725</v>
      </c>
      <c r="D185" s="312">
        <v>45</v>
      </c>
      <c r="E185" s="246" t="s">
        <v>1624</v>
      </c>
    </row>
    <row r="186" spans="1:5" ht="18" customHeight="1">
      <c r="A186" s="239">
        <v>64</v>
      </c>
      <c r="B186" s="282"/>
      <c r="C186" s="246" t="s">
        <v>1725</v>
      </c>
      <c r="D186" s="312">
        <v>45</v>
      </c>
      <c r="E186" s="246" t="s">
        <v>1624</v>
      </c>
    </row>
    <row r="187" spans="1:5" ht="18" customHeight="1">
      <c r="A187" s="239">
        <v>65</v>
      </c>
      <c r="B187" s="282"/>
      <c r="C187" s="246" t="s">
        <v>1725</v>
      </c>
      <c r="D187" s="312">
        <v>45</v>
      </c>
      <c r="E187" s="246" t="s">
        <v>1624</v>
      </c>
    </row>
    <row r="188" spans="1:5" ht="18" customHeight="1">
      <c r="A188" s="239">
        <v>66</v>
      </c>
      <c r="B188" s="282"/>
      <c r="C188" s="246" t="s">
        <v>1725</v>
      </c>
      <c r="D188" s="312">
        <v>45</v>
      </c>
      <c r="E188" s="246" t="s">
        <v>1624</v>
      </c>
    </row>
    <row r="189" spans="1:5" ht="18" customHeight="1">
      <c r="A189" s="239">
        <v>67</v>
      </c>
      <c r="B189" s="282"/>
      <c r="C189" s="246" t="s">
        <v>1725</v>
      </c>
      <c r="D189" s="312">
        <v>45</v>
      </c>
      <c r="E189" s="246" t="s">
        <v>1624</v>
      </c>
    </row>
    <row r="190" spans="1:5" ht="18" customHeight="1">
      <c r="A190" s="239">
        <v>68</v>
      </c>
      <c r="B190" s="282"/>
      <c r="C190" s="246" t="s">
        <v>1725</v>
      </c>
      <c r="D190" s="312">
        <v>45</v>
      </c>
      <c r="E190" s="246" t="s">
        <v>1624</v>
      </c>
    </row>
    <row r="191" spans="1:5" ht="18" customHeight="1">
      <c r="A191" s="239">
        <v>69</v>
      </c>
      <c r="B191" s="282"/>
      <c r="C191" s="246" t="s">
        <v>1725</v>
      </c>
      <c r="D191" s="312">
        <v>45</v>
      </c>
      <c r="E191" s="246" t="s">
        <v>1624</v>
      </c>
    </row>
    <row r="192" spans="1:5" ht="18" customHeight="1">
      <c r="A192" s="239">
        <v>70</v>
      </c>
      <c r="B192" s="282"/>
      <c r="C192" s="246" t="s">
        <v>1725</v>
      </c>
      <c r="D192" s="312">
        <v>45</v>
      </c>
      <c r="E192" s="246" t="s">
        <v>1729</v>
      </c>
    </row>
    <row r="193" spans="1:5" ht="18" customHeight="1">
      <c r="A193" s="239">
        <v>71</v>
      </c>
      <c r="B193" s="282"/>
      <c r="C193" s="246" t="s">
        <v>1725</v>
      </c>
      <c r="D193" s="312">
        <v>45</v>
      </c>
      <c r="E193" s="246" t="s">
        <v>1729</v>
      </c>
    </row>
    <row r="194" spans="1:5" ht="18" customHeight="1">
      <c r="A194" s="239">
        <v>72</v>
      </c>
      <c r="B194" s="282"/>
      <c r="C194" s="246" t="s">
        <v>1725</v>
      </c>
      <c r="D194" s="312">
        <v>45</v>
      </c>
      <c r="E194" s="246" t="s">
        <v>1729</v>
      </c>
    </row>
    <row r="195" spans="1:5" ht="18" customHeight="1">
      <c r="A195" s="239">
        <v>73</v>
      </c>
      <c r="B195" s="282"/>
      <c r="C195" s="246" t="s">
        <v>1725</v>
      </c>
      <c r="D195" s="312">
        <v>45</v>
      </c>
      <c r="E195" s="246" t="s">
        <v>1729</v>
      </c>
    </row>
    <row r="196" spans="1:5" ht="18" customHeight="1">
      <c r="A196" s="239">
        <v>74</v>
      </c>
      <c r="B196" s="282"/>
      <c r="C196" s="246" t="s">
        <v>1725</v>
      </c>
      <c r="D196" s="312">
        <v>45</v>
      </c>
      <c r="E196" s="246" t="s">
        <v>1729</v>
      </c>
    </row>
    <row r="197" spans="1:5" ht="18" customHeight="1">
      <c r="A197" s="239">
        <v>75</v>
      </c>
      <c r="B197" s="282"/>
      <c r="C197" s="246" t="s">
        <v>1725</v>
      </c>
      <c r="D197" s="312">
        <v>45</v>
      </c>
      <c r="E197" s="246" t="s">
        <v>1729</v>
      </c>
    </row>
    <row r="198" spans="1:5" ht="18" customHeight="1">
      <c r="A198" s="239">
        <v>76</v>
      </c>
      <c r="B198" s="282"/>
      <c r="C198" s="246" t="s">
        <v>1725</v>
      </c>
      <c r="D198" s="312">
        <v>45</v>
      </c>
      <c r="E198" s="246" t="s">
        <v>1729</v>
      </c>
    </row>
    <row r="199" spans="1:5" ht="18" customHeight="1">
      <c r="A199" s="239">
        <v>77</v>
      </c>
      <c r="B199" s="282"/>
      <c r="C199" s="246" t="s">
        <v>1725</v>
      </c>
      <c r="D199" s="312">
        <v>45</v>
      </c>
      <c r="E199" s="246" t="s">
        <v>1729</v>
      </c>
    </row>
    <row r="200" spans="1:5" ht="18" customHeight="1">
      <c r="A200" s="239">
        <v>78</v>
      </c>
      <c r="B200" s="282"/>
      <c r="C200" s="246" t="s">
        <v>1725</v>
      </c>
      <c r="D200" s="312">
        <v>45</v>
      </c>
      <c r="E200" s="246" t="s">
        <v>1729</v>
      </c>
    </row>
    <row r="201" spans="1:5" ht="18" customHeight="1">
      <c r="A201" s="239">
        <v>79</v>
      </c>
      <c r="B201" s="282"/>
      <c r="C201" s="246" t="s">
        <v>1725</v>
      </c>
      <c r="D201" s="312">
        <v>45</v>
      </c>
      <c r="E201" s="246" t="s">
        <v>1729</v>
      </c>
    </row>
    <row r="202" spans="1:5" ht="18" customHeight="1">
      <c r="A202" s="239">
        <v>80</v>
      </c>
      <c r="B202" s="282"/>
      <c r="C202" s="246" t="s">
        <v>1725</v>
      </c>
      <c r="D202" s="312">
        <v>45</v>
      </c>
      <c r="E202" s="246" t="s">
        <v>1729</v>
      </c>
    </row>
    <row r="203" spans="1:5" ht="18" customHeight="1">
      <c r="A203" s="252"/>
      <c r="B203" s="282"/>
      <c r="C203" s="246"/>
      <c r="D203" s="312"/>
      <c r="E203" s="246"/>
    </row>
    <row r="204" spans="1:5" ht="18" customHeight="1">
      <c r="A204" s="252"/>
      <c r="B204" s="282"/>
      <c r="C204" s="282" t="s">
        <v>1730</v>
      </c>
      <c r="D204" s="312"/>
      <c r="E204" s="246"/>
    </row>
    <row r="205" spans="1:5" ht="18" customHeight="1">
      <c r="A205" s="363">
        <v>81</v>
      </c>
      <c r="B205" s="368"/>
      <c r="C205" s="364" t="s">
        <v>562</v>
      </c>
      <c r="D205" s="369">
        <v>205</v>
      </c>
      <c r="E205" s="366" t="s">
        <v>1699</v>
      </c>
    </row>
    <row r="206" spans="1:5" ht="18" customHeight="1">
      <c r="A206" s="239">
        <v>82</v>
      </c>
      <c r="B206" s="282"/>
      <c r="C206" s="246" t="s">
        <v>562</v>
      </c>
      <c r="D206" s="312">
        <v>205</v>
      </c>
      <c r="E206" s="246" t="s">
        <v>1699</v>
      </c>
    </row>
    <row r="207" spans="1:5" ht="18" customHeight="1">
      <c r="B207" s="378"/>
      <c r="C207" s="407"/>
      <c r="D207" s="452"/>
      <c r="E207" s="407"/>
    </row>
    <row r="208" spans="1:5" ht="18" customHeight="1">
      <c r="A208" s="252"/>
      <c r="B208" s="282"/>
      <c r="C208" s="282" t="s">
        <v>1937</v>
      </c>
      <c r="D208" s="312"/>
      <c r="E208" s="246"/>
    </row>
    <row r="209" spans="1:5" ht="18" customHeight="1">
      <c r="A209" s="239">
        <v>83</v>
      </c>
      <c r="B209" s="282"/>
      <c r="C209" s="246" t="s">
        <v>1725</v>
      </c>
      <c r="D209" s="312">
        <v>46</v>
      </c>
      <c r="E209" s="246" t="s">
        <v>1938</v>
      </c>
    </row>
    <row r="210" spans="1:5" ht="18" customHeight="1">
      <c r="A210" s="239">
        <v>84</v>
      </c>
      <c r="B210" s="282"/>
      <c r="C210" s="246" t="s">
        <v>1725</v>
      </c>
      <c r="D210" s="312">
        <v>46</v>
      </c>
      <c r="E210" s="246" t="s">
        <v>1938</v>
      </c>
    </row>
    <row r="211" spans="1:5" ht="18" customHeight="1">
      <c r="A211" s="239">
        <v>85</v>
      </c>
      <c r="B211" s="282"/>
      <c r="C211" s="246" t="s">
        <v>1725</v>
      </c>
      <c r="D211" s="312">
        <v>46</v>
      </c>
      <c r="E211" s="246" t="s">
        <v>1938</v>
      </c>
    </row>
    <row r="212" spans="1:5" ht="18" customHeight="1">
      <c r="A212" s="239">
        <v>86</v>
      </c>
      <c r="B212" s="282"/>
      <c r="C212" s="246" t="s">
        <v>1725</v>
      </c>
      <c r="D212" s="312">
        <v>46</v>
      </c>
      <c r="E212" s="246" t="s">
        <v>1938</v>
      </c>
    </row>
    <row r="213" spans="1:5" ht="18" customHeight="1">
      <c r="A213" s="239">
        <v>87</v>
      </c>
      <c r="B213" s="282"/>
      <c r="C213" s="246" t="s">
        <v>1725</v>
      </c>
      <c r="D213" s="312">
        <v>46</v>
      </c>
      <c r="E213" s="246" t="s">
        <v>1938</v>
      </c>
    </row>
    <row r="214" spans="1:5" ht="18" customHeight="1">
      <c r="A214" s="239">
        <v>88</v>
      </c>
      <c r="B214" s="282"/>
      <c r="C214" s="246" t="s">
        <v>1725</v>
      </c>
      <c r="D214" s="312">
        <v>46</v>
      </c>
      <c r="E214" s="246" t="s">
        <v>1938</v>
      </c>
    </row>
    <row r="215" spans="1:5" ht="18" customHeight="1">
      <c r="A215" s="239">
        <v>89</v>
      </c>
      <c r="B215" s="282"/>
      <c r="C215" s="246" t="s">
        <v>1725</v>
      </c>
      <c r="D215" s="312">
        <v>46</v>
      </c>
      <c r="E215" s="246" t="s">
        <v>1938</v>
      </c>
    </row>
    <row r="216" spans="1:5" ht="18" customHeight="1">
      <c r="A216" s="239">
        <v>90</v>
      </c>
      <c r="B216" s="282"/>
      <c r="C216" s="246" t="s">
        <v>1725</v>
      </c>
      <c r="D216" s="312">
        <v>46</v>
      </c>
      <c r="E216" s="246" t="s">
        <v>1938</v>
      </c>
    </row>
    <row r="217" spans="1:5" ht="18" customHeight="1">
      <c r="A217" s="239">
        <v>91</v>
      </c>
      <c r="B217" s="282"/>
      <c r="C217" s="246" t="s">
        <v>1725</v>
      </c>
      <c r="D217" s="312">
        <v>46</v>
      </c>
      <c r="E217" s="246" t="s">
        <v>1938</v>
      </c>
    </row>
    <row r="218" spans="1:5" ht="18" customHeight="1">
      <c r="A218" s="239">
        <v>92</v>
      </c>
      <c r="B218" s="282"/>
      <c r="C218" s="246" t="s">
        <v>1725</v>
      </c>
      <c r="D218" s="312">
        <v>46</v>
      </c>
      <c r="E218" s="246" t="s">
        <v>1938</v>
      </c>
    </row>
    <row r="219" spans="1:5" ht="18" customHeight="1">
      <c r="A219" s="239">
        <v>93</v>
      </c>
      <c r="B219" s="282"/>
      <c r="C219" s="246" t="s">
        <v>1725</v>
      </c>
      <c r="D219" s="312">
        <v>46</v>
      </c>
      <c r="E219" s="246" t="s">
        <v>1938</v>
      </c>
    </row>
    <row r="220" spans="1:5" ht="18" customHeight="1">
      <c r="A220" s="239">
        <v>94</v>
      </c>
      <c r="B220" s="282"/>
      <c r="C220" s="246" t="s">
        <v>1725</v>
      </c>
      <c r="D220" s="312">
        <v>46</v>
      </c>
      <c r="E220" s="246" t="s">
        <v>1938</v>
      </c>
    </row>
    <row r="221" spans="1:5" ht="18" customHeight="1">
      <c r="A221" s="239">
        <v>95</v>
      </c>
      <c r="B221" s="282"/>
      <c r="C221" s="246" t="s">
        <v>1725</v>
      </c>
      <c r="D221" s="312">
        <v>46</v>
      </c>
      <c r="E221" s="246" t="s">
        <v>1938</v>
      </c>
    </row>
    <row r="222" spans="1:5" ht="18" customHeight="1">
      <c r="A222" s="239">
        <v>96</v>
      </c>
      <c r="B222" s="282"/>
      <c r="C222" s="246" t="s">
        <v>1725</v>
      </c>
      <c r="D222" s="312">
        <v>46</v>
      </c>
      <c r="E222" s="246" t="s">
        <v>1938</v>
      </c>
    </row>
    <row r="223" spans="1:5" ht="18" customHeight="1" thickBot="1">
      <c r="C223" s="317" t="s">
        <v>351</v>
      </c>
      <c r="D223" s="318">
        <f>SUM(D98:D222)</f>
        <v>10799</v>
      </c>
    </row>
    <row r="224" spans="1:5" ht="18" customHeight="1" thickTop="1"/>
    <row r="228" spans="1:1" ht="18" customHeight="1">
      <c r="A228" s="245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3"/>
  <sheetViews>
    <sheetView topLeftCell="A7" zoomScale="90" zoomScaleNormal="90" workbookViewId="0">
      <selection activeCell="D22" sqref="D22"/>
    </sheetView>
  </sheetViews>
  <sheetFormatPr defaultColWidth="8.7109375" defaultRowHeight="18" customHeight="1"/>
  <cols>
    <col min="1" max="1" width="5.7109375" style="253" customWidth="1"/>
    <col min="2" max="2" width="22.28515625" style="245" bestFit="1" customWidth="1"/>
    <col min="3" max="3" width="8.42578125" style="245" bestFit="1" customWidth="1"/>
    <col min="4" max="4" width="28.85546875" style="245" bestFit="1" customWidth="1"/>
    <col min="5" max="5" width="60.5703125" style="245" bestFit="1" customWidth="1"/>
    <col min="6" max="6" width="13.5703125" style="245" bestFit="1" customWidth="1"/>
    <col min="7" max="16384" width="8.7109375" style="245"/>
  </cols>
  <sheetData>
    <row r="1" spans="1:7" ht="18" customHeight="1">
      <c r="A1" s="227" t="s">
        <v>549</v>
      </c>
      <c r="F1" s="266">
        <v>44012</v>
      </c>
    </row>
    <row r="2" spans="1:7" ht="18" customHeight="1">
      <c r="A2" s="232" t="s">
        <v>261</v>
      </c>
      <c r="B2" s="282" t="s">
        <v>6</v>
      </c>
      <c r="C2" s="67" t="s">
        <v>550</v>
      </c>
      <c r="D2" s="314" t="s">
        <v>2</v>
      </c>
      <c r="E2" s="67" t="s">
        <v>551</v>
      </c>
      <c r="F2" s="80" t="s">
        <v>206</v>
      </c>
      <c r="G2" s="238"/>
    </row>
    <row r="3" spans="1:7" ht="18" customHeight="1">
      <c r="A3" s="269">
        <v>1</v>
      </c>
      <c r="B3" s="81" t="s">
        <v>552</v>
      </c>
      <c r="C3" s="56">
        <v>1</v>
      </c>
      <c r="D3" s="82" t="s">
        <v>482</v>
      </c>
      <c r="E3" s="315">
        <v>185</v>
      </c>
      <c r="F3" s="316">
        <f>E3*C3</f>
        <v>185</v>
      </c>
      <c r="G3" s="238"/>
    </row>
    <row r="4" spans="1:7" ht="18" customHeight="1" thickBot="1">
      <c r="E4" s="317" t="s">
        <v>351</v>
      </c>
      <c r="F4" s="318">
        <f>SUM(F3)</f>
        <v>185</v>
      </c>
    </row>
    <row r="5" spans="1:7" ht="18" customHeight="1" thickTop="1">
      <c r="G5" s="238"/>
    </row>
    <row r="6" spans="1:7" ht="18" customHeight="1">
      <c r="A6" s="227" t="s">
        <v>415</v>
      </c>
      <c r="B6" s="229"/>
      <c r="C6" s="227"/>
      <c r="D6" s="266"/>
      <c r="E6" s="227"/>
      <c r="F6" s="227"/>
      <c r="G6" s="238"/>
    </row>
    <row r="7" spans="1:7" ht="18" customHeight="1">
      <c r="A7" s="232" t="s">
        <v>261</v>
      </c>
      <c r="B7" s="282" t="s">
        <v>6</v>
      </c>
      <c r="C7" s="67" t="s">
        <v>550</v>
      </c>
      <c r="D7" s="314" t="s">
        <v>2</v>
      </c>
      <c r="E7" s="67" t="s">
        <v>551</v>
      </c>
      <c r="F7" s="80" t="s">
        <v>206</v>
      </c>
    </row>
    <row r="8" spans="1:7" s="227" customFormat="1" ht="18" customHeight="1">
      <c r="A8" s="269">
        <v>1</v>
      </c>
      <c r="B8" s="81" t="s">
        <v>552</v>
      </c>
      <c r="C8" s="56">
        <v>1</v>
      </c>
      <c r="D8" s="245" t="s">
        <v>1528</v>
      </c>
      <c r="E8" s="84">
        <v>130</v>
      </c>
      <c r="F8" s="280">
        <f>E8*C8</f>
        <v>130</v>
      </c>
    </row>
    <row r="9" spans="1:7" ht="18" customHeight="1">
      <c r="A9" s="269">
        <v>2</v>
      </c>
      <c r="B9" s="81" t="s">
        <v>552</v>
      </c>
      <c r="C9" s="56">
        <v>2</v>
      </c>
      <c r="D9" s="82" t="s">
        <v>1165</v>
      </c>
      <c r="E9" s="84">
        <v>130</v>
      </c>
      <c r="F9" s="280">
        <f>E9*C9</f>
        <v>260</v>
      </c>
    </row>
    <row r="10" spans="1:7" s="238" customFormat="1" ht="18" customHeight="1">
      <c r="A10" s="269">
        <v>3</v>
      </c>
      <c r="B10" s="81" t="s">
        <v>552</v>
      </c>
      <c r="C10" s="56">
        <v>2</v>
      </c>
      <c r="D10" s="82" t="s">
        <v>554</v>
      </c>
      <c r="E10" s="84">
        <v>130</v>
      </c>
      <c r="F10" s="280">
        <f>E10*C10</f>
        <v>260</v>
      </c>
    </row>
    <row r="11" spans="1:7" ht="18" customHeight="1">
      <c r="A11" s="269"/>
      <c r="B11" s="81"/>
      <c r="C11" s="56"/>
      <c r="D11" s="254"/>
      <c r="E11" s="319" t="s">
        <v>352</v>
      </c>
      <c r="F11" s="320">
        <f>SUM(F8:F10)</f>
        <v>650</v>
      </c>
      <c r="G11" s="238"/>
    </row>
    <row r="12" spans="1:7" ht="18" customHeight="1">
      <c r="A12" s="269"/>
      <c r="B12" s="81"/>
      <c r="C12" s="56"/>
      <c r="D12" s="254"/>
      <c r="E12" s="321"/>
      <c r="F12" s="322"/>
      <c r="G12" s="238"/>
    </row>
    <row r="13" spans="1:7" ht="18" customHeight="1">
      <c r="A13" s="232" t="s">
        <v>261</v>
      </c>
      <c r="B13" s="282" t="s">
        <v>6</v>
      </c>
      <c r="C13" s="67" t="s">
        <v>550</v>
      </c>
      <c r="D13" s="314" t="s">
        <v>2</v>
      </c>
      <c r="E13" s="67" t="s">
        <v>551</v>
      </c>
      <c r="F13" s="80" t="s">
        <v>206</v>
      </c>
      <c r="G13" s="238"/>
    </row>
    <row r="14" spans="1:7" s="238" customFormat="1" ht="18" customHeight="1">
      <c r="A14" s="269">
        <v>1</v>
      </c>
      <c r="B14" s="81" t="s">
        <v>552</v>
      </c>
      <c r="C14" s="56">
        <v>2</v>
      </c>
      <c r="D14" s="82" t="s">
        <v>554</v>
      </c>
      <c r="E14" s="315">
        <v>185</v>
      </c>
      <c r="F14" s="316">
        <f t="shared" ref="F14:F22" si="0">E14*C14</f>
        <v>370</v>
      </c>
      <c r="G14" s="245"/>
    </row>
    <row r="15" spans="1:7" ht="18" customHeight="1">
      <c r="A15" s="269">
        <v>2</v>
      </c>
      <c r="B15" s="81" t="s">
        <v>552</v>
      </c>
      <c r="C15" s="56">
        <v>4</v>
      </c>
      <c r="D15" s="82" t="s">
        <v>1529</v>
      </c>
      <c r="E15" s="315">
        <v>185</v>
      </c>
      <c r="F15" s="316">
        <f t="shared" si="0"/>
        <v>740</v>
      </c>
      <c r="G15" s="238"/>
    </row>
    <row r="16" spans="1:7" ht="18" customHeight="1">
      <c r="A16" s="269">
        <v>3</v>
      </c>
      <c r="B16" s="81" t="s">
        <v>552</v>
      </c>
      <c r="C16" s="56">
        <v>8</v>
      </c>
      <c r="D16" s="82" t="s">
        <v>1530</v>
      </c>
      <c r="E16" s="315">
        <v>185</v>
      </c>
      <c r="F16" s="316">
        <f t="shared" si="0"/>
        <v>1480</v>
      </c>
    </row>
    <row r="17" spans="1:7" s="238" customFormat="1" ht="18" customHeight="1">
      <c r="A17" s="269">
        <v>4</v>
      </c>
      <c r="B17" s="81" t="s">
        <v>552</v>
      </c>
      <c r="C17" s="56">
        <v>4</v>
      </c>
      <c r="D17" s="82" t="s">
        <v>1531</v>
      </c>
      <c r="E17" s="315">
        <v>185</v>
      </c>
      <c r="F17" s="316">
        <f t="shared" si="0"/>
        <v>740</v>
      </c>
    </row>
    <row r="18" spans="1:7" ht="18" customHeight="1">
      <c r="A18" s="269">
        <v>5</v>
      </c>
      <c r="B18" s="81" t="s">
        <v>552</v>
      </c>
      <c r="C18" s="56">
        <v>12</v>
      </c>
      <c r="D18" s="85" t="s">
        <v>481</v>
      </c>
      <c r="E18" s="315">
        <v>185</v>
      </c>
      <c r="F18" s="316">
        <f t="shared" si="0"/>
        <v>2220</v>
      </c>
      <c r="G18" s="238"/>
    </row>
    <row r="19" spans="1:7" ht="18" customHeight="1">
      <c r="A19" s="269">
        <v>6</v>
      </c>
      <c r="B19" s="81" t="s">
        <v>552</v>
      </c>
      <c r="C19" s="56">
        <v>8</v>
      </c>
      <c r="D19" s="82" t="s">
        <v>1532</v>
      </c>
      <c r="E19" s="315">
        <v>185</v>
      </c>
      <c r="F19" s="316">
        <f t="shared" si="0"/>
        <v>1480</v>
      </c>
      <c r="G19" s="238"/>
    </row>
    <row r="20" spans="1:7" ht="18" customHeight="1">
      <c r="A20" s="269">
        <v>7</v>
      </c>
      <c r="B20" s="81" t="s">
        <v>552</v>
      </c>
      <c r="C20" s="56">
        <v>4</v>
      </c>
      <c r="D20" s="82" t="s">
        <v>1533</v>
      </c>
      <c r="E20" s="315">
        <v>185</v>
      </c>
      <c r="F20" s="316">
        <f t="shared" si="0"/>
        <v>740</v>
      </c>
      <c r="G20" s="238"/>
    </row>
    <row r="21" spans="1:7" ht="18" customHeight="1">
      <c r="A21" s="269">
        <v>8</v>
      </c>
      <c r="B21" s="81" t="s">
        <v>552</v>
      </c>
      <c r="C21" s="56">
        <v>1</v>
      </c>
      <c r="D21" s="82" t="s">
        <v>1534</v>
      </c>
      <c r="E21" s="315">
        <v>185</v>
      </c>
      <c r="F21" s="316">
        <f t="shared" si="0"/>
        <v>185</v>
      </c>
    </row>
    <row r="22" spans="1:7" s="238" customFormat="1" ht="12.75">
      <c r="A22" s="269">
        <v>9</v>
      </c>
      <c r="B22" s="81" t="s">
        <v>552</v>
      </c>
      <c r="C22" s="56">
        <v>8</v>
      </c>
      <c r="D22" s="82" t="s">
        <v>1535</v>
      </c>
      <c r="E22" s="315">
        <v>185</v>
      </c>
      <c r="F22" s="316">
        <f t="shared" si="0"/>
        <v>1480</v>
      </c>
      <c r="G22" s="245"/>
    </row>
    <row r="23" spans="1:7" ht="18" customHeight="1">
      <c r="A23" s="269"/>
      <c r="B23" s="81"/>
      <c r="C23" s="56"/>
      <c r="D23" s="254"/>
      <c r="E23" s="321"/>
      <c r="F23" s="322"/>
      <c r="G23" s="238"/>
    </row>
    <row r="24" spans="1:7" ht="12.75">
      <c r="A24" s="232" t="s">
        <v>261</v>
      </c>
      <c r="B24" s="282" t="s">
        <v>6</v>
      </c>
      <c r="C24" s="67" t="s">
        <v>550</v>
      </c>
      <c r="D24" s="314" t="s">
        <v>2</v>
      </c>
      <c r="E24" s="67" t="s">
        <v>551</v>
      </c>
      <c r="F24" s="80" t="s">
        <v>206</v>
      </c>
    </row>
    <row r="25" spans="1:7" ht="38.25">
      <c r="A25" s="269">
        <v>1</v>
      </c>
      <c r="B25" s="81" t="s">
        <v>1536</v>
      </c>
      <c r="C25" s="56">
        <v>4</v>
      </c>
      <c r="D25" s="82" t="s">
        <v>1385</v>
      </c>
      <c r="E25" s="315">
        <v>185</v>
      </c>
      <c r="F25" s="316">
        <f>E25*C25</f>
        <v>740</v>
      </c>
      <c r="G25" s="238"/>
    </row>
    <row r="26" spans="1:7" ht="18" customHeight="1" thickBot="1">
      <c r="E26" s="317" t="s">
        <v>351</v>
      </c>
      <c r="F26" s="318">
        <f>SUM(F14:F25)</f>
        <v>10175</v>
      </c>
    </row>
    <row r="27" spans="1:7" ht="18" customHeight="1" thickTop="1"/>
    <row r="29" spans="1:7" s="238" customFormat="1" ht="18" customHeight="1">
      <c r="A29" s="253"/>
      <c r="B29" s="245"/>
      <c r="C29" s="245"/>
      <c r="D29" s="245"/>
      <c r="E29" s="245"/>
      <c r="F29" s="245"/>
      <c r="G29" s="245"/>
    </row>
    <row r="33" spans="1:7" s="238" customFormat="1" ht="18" customHeight="1">
      <c r="A33" s="253"/>
      <c r="B33" s="245"/>
      <c r="C33" s="245"/>
      <c r="D33" s="245"/>
      <c r="E33" s="245"/>
      <c r="F33" s="245"/>
      <c r="G33" s="245"/>
    </row>
  </sheetData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D5"/>
  <sheetViews>
    <sheetView workbookViewId="0">
      <selection activeCell="P35" sqref="P35"/>
    </sheetView>
  </sheetViews>
  <sheetFormatPr defaultRowHeight="12.75"/>
  <cols>
    <col min="1" max="1" width="20.7109375" customWidth="1"/>
    <col min="2" max="2" width="14" customWidth="1"/>
    <col min="3" max="3" width="11.5703125" customWidth="1"/>
    <col min="4" max="4" width="12.85546875" customWidth="1"/>
  </cols>
  <sheetData>
    <row r="1" spans="1:4">
      <c r="B1" s="122"/>
      <c r="C1" s="122" t="s">
        <v>734</v>
      </c>
      <c r="D1" s="123">
        <v>43522</v>
      </c>
    </row>
    <row r="2" spans="1:4">
      <c r="A2" s="54" t="s">
        <v>735</v>
      </c>
      <c r="B2" s="45" t="s">
        <v>0</v>
      </c>
      <c r="C2" s="45" t="s">
        <v>736</v>
      </c>
      <c r="D2" s="64" t="s">
        <v>206</v>
      </c>
    </row>
    <row r="3" spans="1:4">
      <c r="A3" s="124" t="s">
        <v>737</v>
      </c>
      <c r="B3" s="124" t="s">
        <v>738</v>
      </c>
      <c r="C3" s="125">
        <v>1500</v>
      </c>
      <c r="D3" s="126">
        <f>C3*20</f>
        <v>30000</v>
      </c>
    </row>
    <row r="4" spans="1:4">
      <c r="A4" s="124" t="s">
        <v>739</v>
      </c>
      <c r="B4" s="124" t="s">
        <v>738</v>
      </c>
      <c r="C4" s="125">
        <f>4500+300+250</f>
        <v>5050</v>
      </c>
      <c r="D4" s="126">
        <f>C4*10</f>
        <v>50500</v>
      </c>
    </row>
    <row r="5" spans="1:4" ht="15">
      <c r="A5" t="s">
        <v>740</v>
      </c>
      <c r="B5" s="122"/>
      <c r="C5" s="122" t="s">
        <v>741</v>
      </c>
      <c r="D5" s="127">
        <f>SUM(D3:D4)</f>
        <v>80500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L375"/>
  <sheetViews>
    <sheetView zoomScale="115" zoomScaleNormal="115" zoomScaleSheetLayoutView="100" workbookViewId="0">
      <pane ySplit="2" topLeftCell="A345" activePane="bottomLeft" state="frozen"/>
      <selection pane="bottomLeft" activeCell="K348" sqref="K348"/>
    </sheetView>
  </sheetViews>
  <sheetFormatPr defaultColWidth="9.140625" defaultRowHeight="12.75"/>
  <cols>
    <col min="1" max="1" width="10" style="437" customWidth="1"/>
    <col min="2" max="2" width="13.140625" style="438" bestFit="1" customWidth="1"/>
    <col min="3" max="3" width="10.140625" style="438" bestFit="1" customWidth="1"/>
    <col min="4" max="4" width="10.28515625" style="438" bestFit="1" customWidth="1"/>
    <col min="5" max="5" width="22" style="439" bestFit="1" customWidth="1"/>
    <col min="6" max="6" width="11.7109375" style="439" bestFit="1" customWidth="1"/>
    <col min="7" max="7" width="55.7109375" style="440" bestFit="1" customWidth="1"/>
    <col min="8" max="8" width="15.7109375" style="439" bestFit="1" customWidth="1"/>
    <col min="9" max="9" width="26.7109375" style="437" bestFit="1" customWidth="1"/>
    <col min="10" max="10" width="9.5703125" style="411" bestFit="1" customWidth="1"/>
    <col min="11" max="11" width="20.85546875" style="411" customWidth="1"/>
    <col min="12" max="12" width="9.7109375" style="411" bestFit="1" customWidth="1"/>
    <col min="13" max="16384" width="9.140625" style="411"/>
  </cols>
  <sheetData>
    <row r="1" spans="1:12" s="245" customFormat="1" ht="18">
      <c r="A1" s="404" t="s">
        <v>1153</v>
      </c>
      <c r="B1" s="406"/>
      <c r="C1" s="406"/>
      <c r="D1" s="406"/>
      <c r="E1" s="407"/>
      <c r="F1" s="407"/>
      <c r="G1" s="408"/>
      <c r="H1" s="407"/>
      <c r="I1" s="266">
        <v>45999</v>
      </c>
    </row>
    <row r="2" spans="1:12" s="461" customFormat="1" ht="30" customHeight="1">
      <c r="A2" s="499" t="s">
        <v>261</v>
      </c>
      <c r="B2" s="500" t="s">
        <v>267</v>
      </c>
      <c r="C2" s="500" t="s">
        <v>268</v>
      </c>
      <c r="D2" s="500" t="s">
        <v>269</v>
      </c>
      <c r="E2" s="501" t="s">
        <v>0</v>
      </c>
      <c r="F2" s="501" t="s">
        <v>1</v>
      </c>
      <c r="G2" s="499" t="s">
        <v>6</v>
      </c>
      <c r="H2" s="499" t="s">
        <v>206</v>
      </c>
      <c r="I2" s="501" t="s">
        <v>207</v>
      </c>
    </row>
    <row r="3" spans="1:12" s="245" customFormat="1">
      <c r="A3" s="239">
        <v>1</v>
      </c>
      <c r="B3" s="247" t="s">
        <v>342</v>
      </c>
      <c r="C3" s="400">
        <v>41243</v>
      </c>
      <c r="D3" s="247" t="s">
        <v>343</v>
      </c>
      <c r="E3" s="401" t="s">
        <v>39</v>
      </c>
      <c r="F3" s="402" t="s">
        <v>111</v>
      </c>
      <c r="G3" s="403" t="s">
        <v>335</v>
      </c>
      <c r="H3" s="409">
        <v>23500</v>
      </c>
      <c r="I3" s="247"/>
    </row>
    <row r="4" spans="1:12" s="245" customFormat="1">
      <c r="A4" s="239">
        <v>2</v>
      </c>
      <c r="B4" s="400" t="s">
        <v>332</v>
      </c>
      <c r="C4" s="400">
        <v>41360</v>
      </c>
      <c r="D4" s="247" t="s">
        <v>333</v>
      </c>
      <c r="E4" s="401" t="s">
        <v>112</v>
      </c>
      <c r="F4" s="402" t="s">
        <v>116</v>
      </c>
      <c r="G4" s="403" t="s">
        <v>334</v>
      </c>
      <c r="H4" s="409">
        <v>20000</v>
      </c>
      <c r="I4" s="247"/>
    </row>
    <row r="5" spans="1:12" s="245" customFormat="1">
      <c r="A5" s="239">
        <v>3</v>
      </c>
      <c r="B5" s="400" t="s">
        <v>332</v>
      </c>
      <c r="C5" s="400">
        <v>41360</v>
      </c>
      <c r="D5" s="247" t="s">
        <v>333</v>
      </c>
      <c r="E5" s="401" t="s">
        <v>112</v>
      </c>
      <c r="F5" s="402" t="s">
        <v>117</v>
      </c>
      <c r="G5" s="403" t="s">
        <v>334</v>
      </c>
      <c r="H5" s="409">
        <v>20000</v>
      </c>
      <c r="I5" s="247"/>
    </row>
    <row r="6" spans="1:12" s="245" customFormat="1">
      <c r="A6" s="239">
        <v>4</v>
      </c>
      <c r="B6" s="400" t="s">
        <v>332</v>
      </c>
      <c r="C6" s="400">
        <v>41360</v>
      </c>
      <c r="D6" s="247" t="s">
        <v>333</v>
      </c>
      <c r="E6" s="401" t="s">
        <v>112</v>
      </c>
      <c r="F6" s="410" t="s">
        <v>124</v>
      </c>
      <c r="G6" s="403" t="s">
        <v>334</v>
      </c>
      <c r="H6" s="409">
        <v>20000</v>
      </c>
      <c r="I6" s="247"/>
    </row>
    <row r="7" spans="1:12">
      <c r="A7" s="239">
        <v>5</v>
      </c>
      <c r="B7" s="400" t="s">
        <v>332</v>
      </c>
      <c r="C7" s="400">
        <v>41360</v>
      </c>
      <c r="D7" s="247" t="s">
        <v>333</v>
      </c>
      <c r="E7" s="401" t="s">
        <v>112</v>
      </c>
      <c r="F7" s="402" t="s">
        <v>126</v>
      </c>
      <c r="G7" s="403" t="s">
        <v>334</v>
      </c>
      <c r="H7" s="409">
        <v>20000</v>
      </c>
      <c r="I7" s="239"/>
      <c r="J7" s="245"/>
      <c r="K7" s="245"/>
      <c r="L7" s="245"/>
    </row>
    <row r="8" spans="1:12">
      <c r="A8" s="239">
        <v>6</v>
      </c>
      <c r="B8" s="400" t="s">
        <v>332</v>
      </c>
      <c r="C8" s="400">
        <v>41360</v>
      </c>
      <c r="D8" s="247" t="s">
        <v>333</v>
      </c>
      <c r="E8" s="401" t="s">
        <v>112</v>
      </c>
      <c r="F8" s="410" t="s">
        <v>127</v>
      </c>
      <c r="G8" s="403" t="s">
        <v>334</v>
      </c>
      <c r="H8" s="409">
        <v>20000</v>
      </c>
      <c r="I8" s="247"/>
      <c r="J8" s="245"/>
      <c r="K8" s="245"/>
      <c r="L8" s="245"/>
    </row>
    <row r="9" spans="1:12">
      <c r="A9" s="239">
        <v>7</v>
      </c>
      <c r="B9" s="400" t="s">
        <v>332</v>
      </c>
      <c r="C9" s="400">
        <v>41360</v>
      </c>
      <c r="D9" s="247" t="s">
        <v>333</v>
      </c>
      <c r="E9" s="401" t="s">
        <v>112</v>
      </c>
      <c r="F9" s="410" t="s">
        <v>128</v>
      </c>
      <c r="G9" s="403" t="s">
        <v>334</v>
      </c>
      <c r="H9" s="409">
        <v>20000</v>
      </c>
      <c r="I9" s="247"/>
      <c r="J9" s="245"/>
      <c r="K9" s="245"/>
      <c r="L9" s="245"/>
    </row>
    <row r="10" spans="1:12" s="245" customFormat="1">
      <c r="A10" s="239">
        <v>8</v>
      </c>
      <c r="B10" s="400" t="s">
        <v>332</v>
      </c>
      <c r="C10" s="400">
        <v>41360</v>
      </c>
      <c r="D10" s="247" t="s">
        <v>333</v>
      </c>
      <c r="E10" s="401" t="s">
        <v>52</v>
      </c>
      <c r="F10" s="410" t="s">
        <v>133</v>
      </c>
      <c r="G10" s="403" t="s">
        <v>335</v>
      </c>
      <c r="H10" s="409">
        <v>20000</v>
      </c>
      <c r="I10" s="247"/>
    </row>
    <row r="11" spans="1:12" s="245" customFormat="1">
      <c r="A11" s="239">
        <v>9</v>
      </c>
      <c r="B11" s="400" t="s">
        <v>332</v>
      </c>
      <c r="C11" s="400">
        <v>41360</v>
      </c>
      <c r="D11" s="247" t="s">
        <v>333</v>
      </c>
      <c r="E11" s="401" t="s">
        <v>39</v>
      </c>
      <c r="F11" s="410" t="s">
        <v>134</v>
      </c>
      <c r="G11" s="403" t="s">
        <v>335</v>
      </c>
      <c r="H11" s="409">
        <v>20000</v>
      </c>
      <c r="I11" s="247"/>
    </row>
    <row r="12" spans="1:12">
      <c r="A12" s="239">
        <v>10</v>
      </c>
      <c r="B12" s="400" t="s">
        <v>751</v>
      </c>
      <c r="C12" s="400">
        <v>41677</v>
      </c>
      <c r="D12" s="247" t="s">
        <v>752</v>
      </c>
      <c r="E12" s="401" t="s">
        <v>194</v>
      </c>
      <c r="F12" s="402" t="s">
        <v>195</v>
      </c>
      <c r="G12" s="246" t="s">
        <v>194</v>
      </c>
      <c r="H12" s="409">
        <v>15890</v>
      </c>
      <c r="I12" s="239"/>
      <c r="J12" s="245"/>
      <c r="K12" s="245"/>
      <c r="L12" s="245"/>
    </row>
    <row r="13" spans="1:12" s="245" customFormat="1">
      <c r="A13" s="239">
        <v>11</v>
      </c>
      <c r="B13" s="247" t="s">
        <v>1429</v>
      </c>
      <c r="C13" s="400">
        <v>44265</v>
      </c>
      <c r="D13" s="412" t="s">
        <v>1418</v>
      </c>
      <c r="E13" s="401" t="s">
        <v>518</v>
      </c>
      <c r="F13" s="402" t="s">
        <v>1419</v>
      </c>
      <c r="G13" s="403" t="s">
        <v>1430</v>
      </c>
      <c r="H13" s="413">
        <v>14500</v>
      </c>
      <c r="I13" s="412" t="s">
        <v>1417</v>
      </c>
    </row>
    <row r="14" spans="1:12" s="245" customFormat="1">
      <c r="A14" s="239">
        <v>12</v>
      </c>
      <c r="B14" s="247" t="s">
        <v>1429</v>
      </c>
      <c r="C14" s="400">
        <v>44265</v>
      </c>
      <c r="D14" s="412" t="s">
        <v>1418</v>
      </c>
      <c r="E14" s="401" t="s">
        <v>518</v>
      </c>
      <c r="F14" s="402" t="s">
        <v>1420</v>
      </c>
      <c r="G14" s="403" t="s">
        <v>1430</v>
      </c>
      <c r="H14" s="413">
        <v>14500</v>
      </c>
      <c r="I14" s="412" t="s">
        <v>1417</v>
      </c>
    </row>
    <row r="15" spans="1:12" s="245" customFormat="1">
      <c r="A15" s="239">
        <v>13</v>
      </c>
      <c r="B15" s="247" t="s">
        <v>1429</v>
      </c>
      <c r="C15" s="400">
        <v>44265</v>
      </c>
      <c r="D15" s="412" t="s">
        <v>1418</v>
      </c>
      <c r="E15" s="401" t="s">
        <v>518</v>
      </c>
      <c r="F15" s="402" t="s">
        <v>1421</v>
      </c>
      <c r="G15" s="403" t="s">
        <v>1430</v>
      </c>
      <c r="H15" s="413">
        <v>14500</v>
      </c>
      <c r="I15" s="412" t="s">
        <v>1417</v>
      </c>
    </row>
    <row r="16" spans="1:12" s="245" customFormat="1">
      <c r="A16" s="239">
        <v>14</v>
      </c>
      <c r="B16" s="247" t="s">
        <v>1429</v>
      </c>
      <c r="C16" s="400">
        <v>44265</v>
      </c>
      <c r="D16" s="412" t="s">
        <v>1418</v>
      </c>
      <c r="E16" s="401" t="s">
        <v>518</v>
      </c>
      <c r="F16" s="402" t="s">
        <v>1423</v>
      </c>
      <c r="G16" s="403" t="s">
        <v>1430</v>
      </c>
      <c r="H16" s="413">
        <v>14500</v>
      </c>
      <c r="I16" s="412" t="s">
        <v>1417</v>
      </c>
    </row>
    <row r="17" spans="1:90" s="245" customFormat="1">
      <c r="A17" s="239">
        <v>15</v>
      </c>
      <c r="B17" s="247" t="s">
        <v>1429</v>
      </c>
      <c r="C17" s="400">
        <v>44265</v>
      </c>
      <c r="D17" s="412" t="s">
        <v>1418</v>
      </c>
      <c r="E17" s="401" t="s">
        <v>518</v>
      </c>
      <c r="F17" s="402" t="s">
        <v>1424</v>
      </c>
      <c r="G17" s="403" t="s">
        <v>1430</v>
      </c>
      <c r="H17" s="413">
        <v>14500</v>
      </c>
      <c r="I17" s="412" t="s">
        <v>1417</v>
      </c>
    </row>
    <row r="18" spans="1:90" s="245" customFormat="1">
      <c r="A18" s="239">
        <v>16</v>
      </c>
      <c r="B18" s="247" t="s">
        <v>1429</v>
      </c>
      <c r="C18" s="400">
        <v>44265</v>
      </c>
      <c r="D18" s="412" t="s">
        <v>1418</v>
      </c>
      <c r="E18" s="401" t="s">
        <v>518</v>
      </c>
      <c r="F18" s="402" t="s">
        <v>1422</v>
      </c>
      <c r="G18" s="403" t="s">
        <v>1430</v>
      </c>
      <c r="H18" s="413">
        <v>14500</v>
      </c>
      <c r="I18" s="412" t="s">
        <v>1431</v>
      </c>
    </row>
    <row r="19" spans="1:90" s="245" customFormat="1">
      <c r="A19" s="239">
        <v>17</v>
      </c>
      <c r="B19" s="247" t="s">
        <v>1429</v>
      </c>
      <c r="C19" s="400">
        <v>44265</v>
      </c>
      <c r="D19" s="412" t="s">
        <v>1418</v>
      </c>
      <c r="E19" s="401" t="s">
        <v>518</v>
      </c>
      <c r="F19" s="402" t="s">
        <v>1425</v>
      </c>
      <c r="G19" s="403" t="s">
        <v>1430</v>
      </c>
      <c r="H19" s="413">
        <v>14500</v>
      </c>
      <c r="I19" s="412" t="s">
        <v>1431</v>
      </c>
    </row>
    <row r="20" spans="1:90" s="245" customFormat="1">
      <c r="A20" s="239">
        <v>18</v>
      </c>
      <c r="B20" s="247" t="s">
        <v>1429</v>
      </c>
      <c r="C20" s="400">
        <v>44265</v>
      </c>
      <c r="D20" s="412" t="s">
        <v>1418</v>
      </c>
      <c r="E20" s="401" t="s">
        <v>518</v>
      </c>
      <c r="F20" s="402" t="s">
        <v>1426</v>
      </c>
      <c r="G20" s="403" t="s">
        <v>1430</v>
      </c>
      <c r="H20" s="413">
        <v>14500</v>
      </c>
      <c r="I20" s="412" t="s">
        <v>1431</v>
      </c>
    </row>
    <row r="21" spans="1:90" s="245" customFormat="1">
      <c r="A21" s="239">
        <v>19</v>
      </c>
      <c r="B21" s="247" t="s">
        <v>1429</v>
      </c>
      <c r="C21" s="400">
        <v>44265</v>
      </c>
      <c r="D21" s="412" t="s">
        <v>1418</v>
      </c>
      <c r="E21" s="401" t="s">
        <v>518</v>
      </c>
      <c r="F21" s="402" t="s">
        <v>1427</v>
      </c>
      <c r="G21" s="403" t="s">
        <v>1430</v>
      </c>
      <c r="H21" s="413">
        <v>14500</v>
      </c>
      <c r="I21" s="412" t="s">
        <v>1431</v>
      </c>
    </row>
    <row r="22" spans="1:90" s="245" customFormat="1">
      <c r="A22" s="239">
        <v>20</v>
      </c>
      <c r="B22" s="247" t="s">
        <v>1429</v>
      </c>
      <c r="C22" s="400">
        <v>44265</v>
      </c>
      <c r="D22" s="412" t="s">
        <v>1418</v>
      </c>
      <c r="E22" s="401" t="s">
        <v>518</v>
      </c>
      <c r="F22" s="402" t="s">
        <v>1428</v>
      </c>
      <c r="G22" s="403" t="s">
        <v>1430</v>
      </c>
      <c r="H22" s="413">
        <v>14500</v>
      </c>
      <c r="I22" s="412" t="s">
        <v>1431</v>
      </c>
    </row>
    <row r="23" spans="1:90" s="245" customFormat="1">
      <c r="A23" s="239">
        <v>21</v>
      </c>
      <c r="B23" s="247" t="s">
        <v>1438</v>
      </c>
      <c r="C23" s="400">
        <v>44280</v>
      </c>
      <c r="D23" s="412" t="s">
        <v>1439</v>
      </c>
      <c r="E23" s="401" t="s">
        <v>518</v>
      </c>
      <c r="F23" s="402" t="s">
        <v>1433</v>
      </c>
      <c r="G23" s="403" t="s">
        <v>1430</v>
      </c>
      <c r="H23" s="413">
        <v>14500</v>
      </c>
      <c r="I23" s="412" t="s">
        <v>1434</v>
      </c>
    </row>
    <row r="24" spans="1:90" s="245" customFormat="1">
      <c r="A24" s="239">
        <v>22</v>
      </c>
      <c r="B24" s="247" t="s">
        <v>1438</v>
      </c>
      <c r="C24" s="400">
        <v>44280</v>
      </c>
      <c r="D24" s="412" t="s">
        <v>1439</v>
      </c>
      <c r="E24" s="401" t="s">
        <v>518</v>
      </c>
      <c r="F24" s="402" t="s">
        <v>1436</v>
      </c>
      <c r="G24" s="403" t="s">
        <v>1430</v>
      </c>
      <c r="H24" s="413">
        <v>14500</v>
      </c>
      <c r="I24" s="412" t="s">
        <v>1434</v>
      </c>
    </row>
    <row r="25" spans="1:90" s="245" customFormat="1">
      <c r="A25" s="239">
        <v>23</v>
      </c>
      <c r="B25" s="247" t="s">
        <v>1438</v>
      </c>
      <c r="C25" s="400">
        <v>44280</v>
      </c>
      <c r="D25" s="412" t="s">
        <v>1439</v>
      </c>
      <c r="E25" s="401" t="s">
        <v>518</v>
      </c>
      <c r="F25" s="402" t="s">
        <v>1435</v>
      </c>
      <c r="G25" s="403" t="s">
        <v>1430</v>
      </c>
      <c r="H25" s="413">
        <v>14500</v>
      </c>
      <c r="I25" s="412" t="s">
        <v>1434</v>
      </c>
    </row>
    <row r="26" spans="1:90" s="245" customFormat="1">
      <c r="A26" s="239">
        <v>24</v>
      </c>
      <c r="B26" s="247" t="s">
        <v>1438</v>
      </c>
      <c r="C26" s="400">
        <v>44280</v>
      </c>
      <c r="D26" s="412" t="s">
        <v>1439</v>
      </c>
      <c r="E26" s="401" t="s">
        <v>518</v>
      </c>
      <c r="F26" s="402" t="s">
        <v>1437</v>
      </c>
      <c r="G26" s="403" t="s">
        <v>1430</v>
      </c>
      <c r="H26" s="413">
        <v>14500</v>
      </c>
      <c r="I26" s="412" t="s">
        <v>1434</v>
      </c>
    </row>
    <row r="27" spans="1:90" s="245" customFormat="1">
      <c r="A27" s="239">
        <v>25</v>
      </c>
      <c r="B27" s="247" t="s">
        <v>1481</v>
      </c>
      <c r="C27" s="400">
        <v>44316</v>
      </c>
      <c r="D27" s="412" t="s">
        <v>1480</v>
      </c>
      <c r="E27" s="401" t="s">
        <v>518</v>
      </c>
      <c r="F27" s="402" t="s">
        <v>1442</v>
      </c>
      <c r="G27" s="403" t="s">
        <v>1430</v>
      </c>
      <c r="H27" s="413">
        <v>14500</v>
      </c>
      <c r="I27" s="412" t="s">
        <v>1443</v>
      </c>
    </row>
    <row r="28" spans="1:90" s="245" customFormat="1">
      <c r="A28" s="239">
        <v>26</v>
      </c>
      <c r="B28" s="247" t="s">
        <v>1481</v>
      </c>
      <c r="C28" s="400">
        <v>44316</v>
      </c>
      <c r="D28" s="412" t="s">
        <v>1480</v>
      </c>
      <c r="E28" s="401" t="s">
        <v>518</v>
      </c>
      <c r="F28" s="402" t="s">
        <v>1444</v>
      </c>
      <c r="G28" s="403" t="s">
        <v>1430</v>
      </c>
      <c r="H28" s="413">
        <v>14500</v>
      </c>
      <c r="I28" s="412" t="s">
        <v>1443</v>
      </c>
    </row>
    <row r="29" spans="1:90" s="245" customFormat="1">
      <c r="A29" s="239">
        <v>27</v>
      </c>
      <c r="B29" s="247" t="s">
        <v>1481</v>
      </c>
      <c r="C29" s="400">
        <v>44316</v>
      </c>
      <c r="D29" s="412" t="s">
        <v>1480</v>
      </c>
      <c r="E29" s="401" t="s">
        <v>518</v>
      </c>
      <c r="F29" s="402" t="s">
        <v>1445</v>
      </c>
      <c r="G29" s="403" t="s">
        <v>1430</v>
      </c>
      <c r="H29" s="413">
        <v>14500</v>
      </c>
      <c r="I29" s="412" t="s">
        <v>1443</v>
      </c>
    </row>
    <row r="30" spans="1:90" s="245" customFormat="1">
      <c r="A30" s="239">
        <v>28</v>
      </c>
      <c r="B30" s="247" t="s">
        <v>1481</v>
      </c>
      <c r="C30" s="400">
        <v>44316</v>
      </c>
      <c r="D30" s="412" t="s">
        <v>1480</v>
      </c>
      <c r="E30" s="401" t="s">
        <v>518</v>
      </c>
      <c r="F30" s="402" t="s">
        <v>1446</v>
      </c>
      <c r="G30" s="403" t="s">
        <v>1430</v>
      </c>
      <c r="H30" s="413">
        <v>14500</v>
      </c>
      <c r="I30" s="412" t="s">
        <v>1443</v>
      </c>
    </row>
    <row r="31" spans="1:90" s="420" customFormat="1" ht="51.75" thickBot="1">
      <c r="A31" s="239">
        <v>29</v>
      </c>
      <c r="B31" s="414" t="s">
        <v>280</v>
      </c>
      <c r="C31" s="415">
        <v>39437</v>
      </c>
      <c r="D31" s="414" t="s">
        <v>281</v>
      </c>
      <c r="E31" s="416" t="s">
        <v>41</v>
      </c>
      <c r="F31" s="414" t="s">
        <v>45</v>
      </c>
      <c r="G31" s="417" t="s">
        <v>1416</v>
      </c>
      <c r="H31" s="418">
        <v>21500</v>
      </c>
      <c r="I31" s="419" t="s">
        <v>1152</v>
      </c>
      <c r="J31" s="245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  <c r="AA31" s="245"/>
      <c r="AB31" s="245"/>
      <c r="AC31" s="245"/>
      <c r="AD31" s="245"/>
      <c r="AE31" s="245"/>
      <c r="AF31" s="245"/>
      <c r="AG31" s="245"/>
      <c r="AH31" s="245"/>
      <c r="AI31" s="245"/>
      <c r="AJ31" s="245"/>
      <c r="AK31" s="245"/>
      <c r="AL31" s="245"/>
      <c r="AM31" s="245"/>
      <c r="AN31" s="245"/>
      <c r="AO31" s="245"/>
      <c r="AP31" s="245"/>
      <c r="AQ31" s="245"/>
      <c r="AR31" s="245"/>
      <c r="AS31" s="245"/>
      <c r="AT31" s="245"/>
      <c r="AU31" s="245"/>
      <c r="AV31" s="245"/>
      <c r="AW31" s="245"/>
      <c r="AX31" s="245"/>
      <c r="AY31" s="245"/>
      <c r="AZ31" s="245"/>
      <c r="BA31" s="245"/>
      <c r="BB31" s="245"/>
      <c r="BC31" s="245"/>
      <c r="BD31" s="245"/>
      <c r="BE31" s="245"/>
      <c r="BF31" s="245"/>
      <c r="BG31" s="245"/>
      <c r="BH31" s="245"/>
      <c r="BI31" s="245"/>
      <c r="BJ31" s="245"/>
      <c r="BK31" s="245"/>
      <c r="BL31" s="245"/>
      <c r="BM31" s="245"/>
      <c r="BN31" s="245"/>
      <c r="BO31" s="245"/>
      <c r="BP31" s="245"/>
      <c r="BQ31" s="245"/>
      <c r="BR31" s="245"/>
      <c r="BS31" s="245"/>
      <c r="BT31" s="245"/>
      <c r="BU31" s="245"/>
      <c r="BV31" s="245"/>
      <c r="BW31" s="245"/>
      <c r="BX31" s="245"/>
      <c r="BY31" s="245"/>
      <c r="BZ31" s="245"/>
      <c r="CA31" s="245"/>
      <c r="CB31" s="245"/>
      <c r="CC31" s="245"/>
      <c r="CD31" s="245"/>
      <c r="CE31" s="245"/>
      <c r="CF31" s="245"/>
      <c r="CG31" s="245"/>
      <c r="CH31" s="245"/>
      <c r="CI31" s="245"/>
      <c r="CJ31" s="245"/>
      <c r="CK31" s="245"/>
      <c r="CL31" s="245"/>
    </row>
    <row r="32" spans="1:90" s="245" customFormat="1" ht="63.75">
      <c r="A32" s="239">
        <v>30</v>
      </c>
      <c r="B32" s="247" t="s">
        <v>280</v>
      </c>
      <c r="C32" s="400">
        <v>39437</v>
      </c>
      <c r="D32" s="247" t="s">
        <v>281</v>
      </c>
      <c r="E32" s="401" t="s">
        <v>41</v>
      </c>
      <c r="F32" s="410">
        <v>101103</v>
      </c>
      <c r="G32" s="403" t="s">
        <v>541</v>
      </c>
      <c r="H32" s="405">
        <v>21500</v>
      </c>
      <c r="I32" s="247"/>
    </row>
    <row r="33" spans="1:90" s="420" customFormat="1" ht="51.75" thickBot="1">
      <c r="A33" s="239">
        <v>31</v>
      </c>
      <c r="B33" s="414" t="s">
        <v>280</v>
      </c>
      <c r="C33" s="415">
        <v>39437</v>
      </c>
      <c r="D33" s="414" t="s">
        <v>281</v>
      </c>
      <c r="E33" s="416" t="s">
        <v>41</v>
      </c>
      <c r="F33" s="414" t="s">
        <v>46</v>
      </c>
      <c r="G33" s="417" t="s">
        <v>1416</v>
      </c>
      <c r="H33" s="418">
        <v>21500</v>
      </c>
      <c r="I33" s="419" t="s">
        <v>1152</v>
      </c>
      <c r="J33" s="245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  <c r="AA33" s="245"/>
      <c r="AB33" s="245"/>
      <c r="AC33" s="245"/>
      <c r="AD33" s="245"/>
      <c r="AE33" s="245"/>
      <c r="AF33" s="245"/>
      <c r="AG33" s="245"/>
      <c r="AH33" s="245"/>
      <c r="AI33" s="245"/>
      <c r="AJ33" s="245"/>
      <c r="AK33" s="245"/>
      <c r="AL33" s="245"/>
      <c r="AM33" s="245"/>
      <c r="AN33" s="245"/>
      <c r="AO33" s="245"/>
      <c r="AP33" s="245"/>
      <c r="AQ33" s="245"/>
      <c r="AR33" s="245"/>
      <c r="AS33" s="245"/>
      <c r="AT33" s="245"/>
      <c r="AU33" s="245"/>
      <c r="AV33" s="245"/>
      <c r="AW33" s="245"/>
      <c r="AX33" s="245"/>
      <c r="AY33" s="245"/>
      <c r="AZ33" s="245"/>
      <c r="BA33" s="245"/>
      <c r="BB33" s="245"/>
      <c r="BC33" s="245"/>
      <c r="BD33" s="245"/>
      <c r="BE33" s="245"/>
      <c r="BF33" s="245"/>
      <c r="BG33" s="245"/>
      <c r="BH33" s="245"/>
      <c r="BI33" s="245"/>
      <c r="BJ33" s="245"/>
      <c r="BK33" s="245"/>
      <c r="BL33" s="245"/>
      <c r="BM33" s="245"/>
      <c r="BN33" s="245"/>
      <c r="BO33" s="245"/>
      <c r="BP33" s="245"/>
      <c r="BQ33" s="245"/>
      <c r="BR33" s="245"/>
      <c r="BS33" s="245"/>
      <c r="BT33" s="245"/>
      <c r="BU33" s="245"/>
      <c r="BV33" s="245"/>
      <c r="BW33" s="245"/>
      <c r="BX33" s="245"/>
      <c r="BY33" s="245"/>
      <c r="BZ33" s="245"/>
      <c r="CA33" s="245"/>
      <c r="CB33" s="245"/>
      <c r="CC33" s="245"/>
      <c r="CD33" s="245"/>
      <c r="CE33" s="245"/>
      <c r="CF33" s="245"/>
      <c r="CG33" s="245"/>
      <c r="CH33" s="245"/>
      <c r="CI33" s="245"/>
      <c r="CJ33" s="245"/>
      <c r="CK33" s="245"/>
      <c r="CL33" s="245"/>
    </row>
    <row r="34" spans="1:90" s="245" customFormat="1" ht="38.25">
      <c r="A34" s="239">
        <v>32</v>
      </c>
      <c r="B34" s="247" t="s">
        <v>280</v>
      </c>
      <c r="C34" s="400">
        <v>39437</v>
      </c>
      <c r="D34" s="412" t="s">
        <v>281</v>
      </c>
      <c r="E34" s="401" t="s">
        <v>41</v>
      </c>
      <c r="F34" s="402" t="s">
        <v>49</v>
      </c>
      <c r="G34" s="403" t="s">
        <v>548</v>
      </c>
      <c r="H34" s="405">
        <v>21500</v>
      </c>
      <c r="I34" s="239"/>
    </row>
    <row r="35" spans="1:90" s="245" customFormat="1" ht="51">
      <c r="A35" s="239">
        <v>33</v>
      </c>
      <c r="B35" s="247" t="s">
        <v>337</v>
      </c>
      <c r="C35" s="400">
        <v>39444</v>
      </c>
      <c r="D35" s="247" t="s">
        <v>338</v>
      </c>
      <c r="E35" s="401" t="s">
        <v>41</v>
      </c>
      <c r="F35" s="402" t="s">
        <v>43</v>
      </c>
      <c r="G35" s="403" t="s">
        <v>546</v>
      </c>
      <c r="H35" s="405">
        <v>21500</v>
      </c>
      <c r="I35" s="247"/>
    </row>
    <row r="36" spans="1:90" s="245" customFormat="1" ht="51">
      <c r="A36" s="239">
        <v>34</v>
      </c>
      <c r="B36" s="414" t="s">
        <v>337</v>
      </c>
      <c r="C36" s="415">
        <v>39444</v>
      </c>
      <c r="D36" s="414" t="s">
        <v>338</v>
      </c>
      <c r="E36" s="416" t="s">
        <v>41</v>
      </c>
      <c r="F36" s="414" t="s">
        <v>44</v>
      </c>
      <c r="G36" s="417" t="s">
        <v>1416</v>
      </c>
      <c r="H36" s="418">
        <v>21500</v>
      </c>
      <c r="I36" s="419" t="s">
        <v>1152</v>
      </c>
    </row>
    <row r="37" spans="1:90" s="245" customFormat="1" ht="51">
      <c r="A37" s="239">
        <v>35</v>
      </c>
      <c r="B37" s="247" t="s">
        <v>337</v>
      </c>
      <c r="C37" s="400">
        <v>39444</v>
      </c>
      <c r="D37" s="247" t="s">
        <v>338</v>
      </c>
      <c r="E37" s="401" t="s">
        <v>41</v>
      </c>
      <c r="F37" s="410" t="s">
        <v>48</v>
      </c>
      <c r="G37" s="403" t="s">
        <v>545</v>
      </c>
      <c r="H37" s="405">
        <v>21500</v>
      </c>
      <c r="I37" s="247"/>
    </row>
    <row r="38" spans="1:90" s="420" customFormat="1" ht="51.75" thickBot="1">
      <c r="A38" s="239">
        <v>36</v>
      </c>
      <c r="B38" s="414" t="s">
        <v>318</v>
      </c>
      <c r="C38" s="415">
        <v>39473</v>
      </c>
      <c r="D38" s="421" t="s">
        <v>319</v>
      </c>
      <c r="E38" s="419" t="s">
        <v>41</v>
      </c>
      <c r="F38" s="414">
        <v>101101</v>
      </c>
      <c r="G38" s="417" t="s">
        <v>1416</v>
      </c>
      <c r="H38" s="418">
        <v>21500</v>
      </c>
      <c r="I38" s="419" t="s">
        <v>1142</v>
      </c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  <c r="AA38" s="245"/>
      <c r="AB38" s="245"/>
      <c r="AC38" s="245"/>
      <c r="AD38" s="245"/>
      <c r="AE38" s="245"/>
      <c r="AF38" s="245"/>
      <c r="AG38" s="245"/>
      <c r="AH38" s="245"/>
      <c r="AI38" s="245"/>
      <c r="AJ38" s="245"/>
      <c r="AK38" s="245"/>
      <c r="AL38" s="245"/>
      <c r="AM38" s="245"/>
      <c r="AN38" s="245"/>
      <c r="AO38" s="245"/>
      <c r="AP38" s="245"/>
      <c r="AQ38" s="245"/>
      <c r="AR38" s="245"/>
      <c r="AS38" s="245"/>
      <c r="AT38" s="245"/>
      <c r="AU38" s="245"/>
      <c r="AV38" s="245"/>
      <c r="AW38" s="245"/>
      <c r="AX38" s="245"/>
      <c r="AY38" s="245"/>
      <c r="AZ38" s="245"/>
      <c r="BA38" s="245"/>
      <c r="BB38" s="245"/>
      <c r="BC38" s="245"/>
      <c r="BD38" s="245"/>
      <c r="BE38" s="245"/>
      <c r="BF38" s="245"/>
      <c r="BG38" s="245"/>
      <c r="BH38" s="245"/>
      <c r="BI38" s="245"/>
      <c r="BJ38" s="245"/>
      <c r="BK38" s="245"/>
      <c r="BL38" s="245"/>
      <c r="BM38" s="245"/>
      <c r="BN38" s="245"/>
      <c r="BO38" s="245"/>
      <c r="BP38" s="245"/>
      <c r="BQ38" s="245"/>
      <c r="BR38" s="245"/>
      <c r="BS38" s="245"/>
      <c r="BT38" s="245"/>
      <c r="BU38" s="245"/>
      <c r="BV38" s="245"/>
      <c r="BW38" s="245"/>
      <c r="BX38" s="245"/>
      <c r="BY38" s="245"/>
      <c r="BZ38" s="245"/>
      <c r="CA38" s="245"/>
      <c r="CB38" s="245"/>
      <c r="CC38" s="245"/>
      <c r="CD38" s="245"/>
      <c r="CE38" s="245"/>
      <c r="CF38" s="245"/>
      <c r="CG38" s="245"/>
      <c r="CH38" s="245"/>
      <c r="CI38" s="245"/>
      <c r="CJ38" s="245"/>
      <c r="CK38" s="245"/>
      <c r="CL38" s="245"/>
    </row>
    <row r="39" spans="1:90" s="422" customFormat="1" ht="51.75" thickBot="1">
      <c r="A39" s="239">
        <v>37</v>
      </c>
      <c r="B39" s="414" t="s">
        <v>309</v>
      </c>
      <c r="C39" s="415">
        <v>39541</v>
      </c>
      <c r="D39" s="421" t="s">
        <v>310</v>
      </c>
      <c r="E39" s="419" t="s">
        <v>41</v>
      </c>
      <c r="F39" s="414" t="s">
        <v>42</v>
      </c>
      <c r="G39" s="417" t="s">
        <v>1416</v>
      </c>
      <c r="H39" s="418">
        <v>21500</v>
      </c>
      <c r="I39" s="419" t="s">
        <v>1142</v>
      </c>
      <c r="J39" s="245"/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  <c r="AA39" s="245"/>
      <c r="AB39" s="245"/>
      <c r="AC39" s="245"/>
      <c r="AD39" s="245"/>
      <c r="AE39" s="245"/>
      <c r="AF39" s="245"/>
      <c r="AG39" s="245"/>
      <c r="AH39" s="245"/>
      <c r="AI39" s="245"/>
      <c r="AJ39" s="245"/>
      <c r="AK39" s="245"/>
      <c r="AL39" s="245"/>
      <c r="AM39" s="245"/>
      <c r="AN39" s="245"/>
      <c r="AO39" s="245"/>
      <c r="AP39" s="245"/>
      <c r="AQ39" s="245"/>
      <c r="AR39" s="245"/>
      <c r="AS39" s="245"/>
      <c r="AT39" s="245"/>
      <c r="AU39" s="245"/>
      <c r="AV39" s="245"/>
      <c r="AW39" s="245"/>
      <c r="AX39" s="245"/>
      <c r="AY39" s="245"/>
      <c r="AZ39" s="245"/>
      <c r="BA39" s="245"/>
      <c r="BB39" s="245"/>
      <c r="BC39" s="245"/>
      <c r="BD39" s="245"/>
      <c r="BE39" s="245"/>
      <c r="BF39" s="245"/>
      <c r="BG39" s="245"/>
      <c r="BH39" s="245"/>
      <c r="BI39" s="245"/>
      <c r="BJ39" s="245"/>
      <c r="BK39" s="245"/>
      <c r="BL39" s="245"/>
      <c r="BM39" s="245"/>
      <c r="BN39" s="245"/>
      <c r="BO39" s="245"/>
      <c r="BP39" s="245"/>
      <c r="BQ39" s="245"/>
      <c r="BR39" s="245"/>
      <c r="BS39" s="245"/>
      <c r="BT39" s="245"/>
      <c r="BU39" s="245"/>
      <c r="BV39" s="245"/>
      <c r="BW39" s="245"/>
      <c r="BX39" s="245"/>
      <c r="BY39" s="245"/>
      <c r="BZ39" s="245"/>
      <c r="CA39" s="245"/>
      <c r="CB39" s="245"/>
      <c r="CC39" s="245"/>
      <c r="CD39" s="245"/>
      <c r="CE39" s="245"/>
      <c r="CF39" s="245"/>
      <c r="CG39" s="245"/>
      <c r="CH39" s="245"/>
      <c r="CI39" s="245"/>
      <c r="CJ39" s="245"/>
      <c r="CK39" s="245"/>
      <c r="CL39" s="245"/>
    </row>
    <row r="40" spans="1:90" s="420" customFormat="1" ht="51.75" thickBot="1">
      <c r="A40" s="239">
        <v>38</v>
      </c>
      <c r="B40" s="414" t="s">
        <v>283</v>
      </c>
      <c r="C40" s="415">
        <v>39557</v>
      </c>
      <c r="D40" s="421" t="s">
        <v>284</v>
      </c>
      <c r="E40" s="419" t="s">
        <v>41</v>
      </c>
      <c r="F40" s="414" t="s">
        <v>70</v>
      </c>
      <c r="G40" s="417" t="s">
        <v>1416</v>
      </c>
      <c r="H40" s="418">
        <v>21500</v>
      </c>
      <c r="I40" s="419" t="s">
        <v>1142</v>
      </c>
      <c r="J40" s="245"/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  <c r="AB40" s="245"/>
      <c r="AC40" s="245"/>
      <c r="AD40" s="245"/>
      <c r="AE40" s="245"/>
      <c r="AF40" s="245"/>
      <c r="AG40" s="245"/>
      <c r="AH40" s="245"/>
      <c r="AI40" s="245"/>
      <c r="AJ40" s="245"/>
      <c r="AK40" s="245"/>
      <c r="AL40" s="245"/>
      <c r="AM40" s="245"/>
      <c r="AN40" s="245"/>
      <c r="AO40" s="245"/>
      <c r="AP40" s="245"/>
      <c r="AQ40" s="245"/>
      <c r="AR40" s="245"/>
      <c r="AS40" s="245"/>
      <c r="AT40" s="245"/>
      <c r="AU40" s="245"/>
      <c r="AV40" s="245"/>
      <c r="AW40" s="245"/>
      <c r="AX40" s="245"/>
      <c r="AY40" s="245"/>
      <c r="AZ40" s="245"/>
      <c r="BA40" s="245"/>
      <c r="BB40" s="245"/>
      <c r="BC40" s="245"/>
      <c r="BD40" s="245"/>
      <c r="BE40" s="245"/>
      <c r="BF40" s="245"/>
      <c r="BG40" s="245"/>
      <c r="BH40" s="245"/>
      <c r="BI40" s="245"/>
      <c r="BJ40" s="245"/>
      <c r="BK40" s="245"/>
      <c r="BL40" s="245"/>
      <c r="BM40" s="245"/>
      <c r="BN40" s="245"/>
      <c r="BO40" s="245"/>
      <c r="BP40" s="245"/>
      <c r="BQ40" s="245"/>
      <c r="BR40" s="245"/>
      <c r="BS40" s="245"/>
      <c r="BT40" s="245"/>
      <c r="BU40" s="245"/>
      <c r="BV40" s="245"/>
      <c r="BW40" s="245"/>
      <c r="BX40" s="245"/>
      <c r="BY40" s="245"/>
      <c r="BZ40" s="245"/>
      <c r="CA40" s="245"/>
      <c r="CB40" s="245"/>
      <c r="CC40" s="245"/>
      <c r="CD40" s="245"/>
      <c r="CE40" s="245"/>
      <c r="CF40" s="245"/>
      <c r="CG40" s="245"/>
      <c r="CH40" s="245"/>
      <c r="CI40" s="245"/>
      <c r="CJ40" s="245"/>
      <c r="CK40" s="245"/>
      <c r="CL40" s="245"/>
    </row>
    <row r="41" spans="1:90" s="420" customFormat="1" ht="51.75" thickBot="1">
      <c r="A41" s="239">
        <v>39</v>
      </c>
      <c r="B41" s="414" t="s">
        <v>305</v>
      </c>
      <c r="C41" s="415">
        <v>39570</v>
      </c>
      <c r="D41" s="421" t="s">
        <v>306</v>
      </c>
      <c r="E41" s="419" t="s">
        <v>41</v>
      </c>
      <c r="F41" s="414">
        <v>101551</v>
      </c>
      <c r="G41" s="417" t="s">
        <v>1416</v>
      </c>
      <c r="H41" s="418">
        <v>21500</v>
      </c>
      <c r="I41" s="419" t="s">
        <v>1142</v>
      </c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  <c r="AA41" s="245"/>
      <c r="AB41" s="245"/>
      <c r="AC41" s="245"/>
      <c r="AD41" s="245"/>
      <c r="AE41" s="245"/>
      <c r="AF41" s="245"/>
      <c r="AG41" s="245"/>
      <c r="AH41" s="245"/>
      <c r="AI41" s="245"/>
      <c r="AJ41" s="245"/>
      <c r="AK41" s="245"/>
      <c r="AL41" s="245"/>
      <c r="AM41" s="245"/>
      <c r="AN41" s="245"/>
      <c r="AO41" s="245"/>
      <c r="AP41" s="245"/>
      <c r="AQ41" s="245"/>
      <c r="AR41" s="245"/>
      <c r="AS41" s="245"/>
      <c r="AT41" s="245"/>
      <c r="AU41" s="245"/>
      <c r="AV41" s="245"/>
      <c r="AW41" s="245"/>
      <c r="AX41" s="245"/>
      <c r="AY41" s="245"/>
      <c r="AZ41" s="245"/>
      <c r="BA41" s="245"/>
      <c r="BB41" s="245"/>
      <c r="BC41" s="245"/>
      <c r="BD41" s="245"/>
      <c r="BE41" s="245"/>
      <c r="BF41" s="245"/>
      <c r="BG41" s="245"/>
      <c r="BH41" s="245"/>
      <c r="BI41" s="245"/>
      <c r="BJ41" s="245"/>
      <c r="BK41" s="245"/>
      <c r="BL41" s="245"/>
      <c r="BM41" s="245"/>
      <c r="BN41" s="245"/>
      <c r="BO41" s="245"/>
      <c r="BP41" s="245"/>
      <c r="BQ41" s="245"/>
      <c r="BR41" s="245"/>
      <c r="BS41" s="245"/>
      <c r="BT41" s="245"/>
      <c r="BU41" s="245"/>
      <c r="BV41" s="245"/>
      <c r="BW41" s="245"/>
      <c r="BX41" s="245"/>
      <c r="BY41" s="245"/>
      <c r="BZ41" s="245"/>
      <c r="CA41" s="245"/>
      <c r="CB41" s="245"/>
      <c r="CC41" s="245"/>
      <c r="CD41" s="245"/>
      <c r="CE41" s="245"/>
      <c r="CF41" s="245"/>
      <c r="CG41" s="245"/>
      <c r="CH41" s="245"/>
      <c r="CI41" s="245"/>
      <c r="CJ41" s="245"/>
      <c r="CK41" s="245"/>
      <c r="CL41" s="245"/>
    </row>
    <row r="42" spans="1:90" s="245" customFormat="1" ht="51">
      <c r="A42" s="239">
        <v>40</v>
      </c>
      <c r="B42" s="247" t="s">
        <v>305</v>
      </c>
      <c r="C42" s="400">
        <v>39570</v>
      </c>
      <c r="D42" s="247" t="s">
        <v>306</v>
      </c>
      <c r="E42" s="401" t="s">
        <v>41</v>
      </c>
      <c r="F42" s="402" t="s">
        <v>67</v>
      </c>
      <c r="G42" s="403" t="s">
        <v>546</v>
      </c>
      <c r="H42" s="405">
        <v>21500</v>
      </c>
      <c r="I42" s="247"/>
    </row>
    <row r="43" spans="1:90" s="245" customFormat="1" ht="51">
      <c r="A43" s="239">
        <v>41</v>
      </c>
      <c r="B43" s="247" t="s">
        <v>273</v>
      </c>
      <c r="C43" s="400">
        <v>39570</v>
      </c>
      <c r="D43" s="247" t="s">
        <v>274</v>
      </c>
      <c r="E43" s="401" t="s">
        <v>41</v>
      </c>
      <c r="F43" s="402" t="s">
        <v>69</v>
      </c>
      <c r="G43" s="403" t="s">
        <v>546</v>
      </c>
      <c r="H43" s="405">
        <v>21500</v>
      </c>
      <c r="I43" s="247"/>
    </row>
    <row r="44" spans="1:90" s="420" customFormat="1" ht="51.75" thickBot="1">
      <c r="A44" s="239">
        <v>42</v>
      </c>
      <c r="B44" s="247" t="s">
        <v>305</v>
      </c>
      <c r="C44" s="400">
        <v>39570</v>
      </c>
      <c r="D44" s="247" t="s">
        <v>306</v>
      </c>
      <c r="E44" s="401" t="s">
        <v>41</v>
      </c>
      <c r="F44" s="402" t="s">
        <v>74</v>
      </c>
      <c r="G44" s="403" t="s">
        <v>546</v>
      </c>
      <c r="H44" s="405">
        <v>21500</v>
      </c>
      <c r="I44" s="247"/>
      <c r="J44" s="245"/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  <c r="AA44" s="245"/>
      <c r="AB44" s="245"/>
      <c r="AC44" s="245"/>
      <c r="AD44" s="245"/>
      <c r="AE44" s="245"/>
      <c r="AF44" s="245"/>
      <c r="AG44" s="245"/>
      <c r="AH44" s="245"/>
      <c r="AI44" s="245"/>
      <c r="AJ44" s="245"/>
      <c r="AK44" s="245"/>
      <c r="AL44" s="245"/>
      <c r="AM44" s="245"/>
      <c r="AN44" s="245"/>
      <c r="AO44" s="245"/>
      <c r="AP44" s="245"/>
      <c r="AQ44" s="245"/>
      <c r="AR44" s="245"/>
      <c r="AS44" s="245"/>
      <c r="AT44" s="245"/>
      <c r="AU44" s="245"/>
      <c r="AV44" s="245"/>
      <c r="AW44" s="245"/>
      <c r="AX44" s="245"/>
      <c r="AY44" s="245"/>
      <c r="AZ44" s="245"/>
      <c r="BA44" s="245"/>
      <c r="BB44" s="245"/>
      <c r="BC44" s="245"/>
      <c r="BD44" s="245"/>
      <c r="BE44" s="245"/>
      <c r="BF44" s="245"/>
      <c r="BG44" s="245"/>
      <c r="BH44" s="245"/>
      <c r="BI44" s="245"/>
      <c r="BJ44" s="245"/>
      <c r="BK44" s="245"/>
      <c r="BL44" s="245"/>
      <c r="BM44" s="245"/>
      <c r="BN44" s="245"/>
      <c r="BO44" s="245"/>
      <c r="BP44" s="245"/>
      <c r="BQ44" s="245"/>
      <c r="BR44" s="245"/>
      <c r="BS44" s="245"/>
      <c r="BT44" s="245"/>
      <c r="BU44" s="245"/>
      <c r="BV44" s="245"/>
      <c r="BW44" s="245"/>
      <c r="BX44" s="245"/>
      <c r="BY44" s="245"/>
      <c r="BZ44" s="245"/>
      <c r="CA44" s="245"/>
      <c r="CB44" s="245"/>
      <c r="CC44" s="245"/>
      <c r="CD44" s="245"/>
      <c r="CE44" s="245"/>
      <c r="CF44" s="245"/>
      <c r="CG44" s="245"/>
      <c r="CH44" s="245"/>
      <c r="CI44" s="245"/>
      <c r="CJ44" s="245"/>
      <c r="CK44" s="245"/>
      <c r="CL44" s="245"/>
    </row>
    <row r="45" spans="1:90" s="422" customFormat="1" ht="51.75" thickBot="1">
      <c r="A45" s="239">
        <v>43</v>
      </c>
      <c r="B45" s="247" t="s">
        <v>273</v>
      </c>
      <c r="C45" s="400">
        <v>39570</v>
      </c>
      <c r="D45" s="247" t="s">
        <v>274</v>
      </c>
      <c r="E45" s="401" t="s">
        <v>41</v>
      </c>
      <c r="F45" s="410" t="s">
        <v>77</v>
      </c>
      <c r="G45" s="403" t="s">
        <v>546</v>
      </c>
      <c r="H45" s="405">
        <v>21500</v>
      </c>
      <c r="I45" s="247"/>
      <c r="J45" s="245"/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  <c r="AA45" s="245"/>
      <c r="AB45" s="245"/>
      <c r="AC45" s="245"/>
      <c r="AD45" s="245"/>
      <c r="AE45" s="245"/>
      <c r="AF45" s="245"/>
      <c r="AG45" s="245"/>
      <c r="AH45" s="245"/>
      <c r="AI45" s="245"/>
      <c r="AJ45" s="245"/>
      <c r="AK45" s="245"/>
      <c r="AL45" s="245"/>
      <c r="AM45" s="245"/>
      <c r="AN45" s="245"/>
      <c r="AO45" s="245"/>
      <c r="AP45" s="245"/>
      <c r="AQ45" s="245"/>
      <c r="AR45" s="245"/>
      <c r="AS45" s="245"/>
      <c r="AT45" s="245"/>
      <c r="AU45" s="245"/>
      <c r="AV45" s="245"/>
      <c r="AW45" s="245"/>
      <c r="AX45" s="245"/>
      <c r="AY45" s="245"/>
      <c r="AZ45" s="245"/>
      <c r="BA45" s="245"/>
      <c r="BB45" s="245"/>
      <c r="BC45" s="245"/>
      <c r="BD45" s="245"/>
      <c r="BE45" s="245"/>
      <c r="BF45" s="245"/>
      <c r="BG45" s="245"/>
      <c r="BH45" s="245"/>
      <c r="BI45" s="245"/>
      <c r="BJ45" s="245"/>
      <c r="BK45" s="245"/>
      <c r="BL45" s="245"/>
      <c r="BM45" s="245"/>
      <c r="BN45" s="245"/>
      <c r="BO45" s="245"/>
      <c r="BP45" s="245"/>
      <c r="BQ45" s="245"/>
      <c r="BR45" s="245"/>
      <c r="BS45" s="245"/>
      <c r="BT45" s="245"/>
      <c r="BU45" s="245"/>
      <c r="BV45" s="245"/>
      <c r="BW45" s="245"/>
      <c r="BX45" s="245"/>
      <c r="BY45" s="245"/>
      <c r="BZ45" s="245"/>
      <c r="CA45" s="245"/>
      <c r="CB45" s="245"/>
      <c r="CC45" s="245"/>
      <c r="CD45" s="245"/>
      <c r="CE45" s="245"/>
      <c r="CF45" s="245"/>
      <c r="CG45" s="245"/>
      <c r="CH45" s="245"/>
      <c r="CI45" s="245"/>
      <c r="CJ45" s="245"/>
      <c r="CK45" s="245"/>
      <c r="CL45" s="245"/>
    </row>
    <row r="46" spans="1:90" s="245" customFormat="1" ht="51">
      <c r="A46" s="239">
        <v>44</v>
      </c>
      <c r="B46" s="247" t="s">
        <v>276</v>
      </c>
      <c r="C46" s="400">
        <v>39580</v>
      </c>
      <c r="D46" s="247" t="s">
        <v>277</v>
      </c>
      <c r="E46" s="401" t="s">
        <v>41</v>
      </c>
      <c r="F46" s="402" t="s">
        <v>68</v>
      </c>
      <c r="G46" s="403" t="s">
        <v>546</v>
      </c>
      <c r="H46" s="405">
        <v>21500</v>
      </c>
      <c r="I46" s="239"/>
    </row>
    <row r="47" spans="1:90" s="245" customFormat="1" ht="51">
      <c r="A47" s="239">
        <v>45</v>
      </c>
      <c r="B47" s="247" t="s">
        <v>276</v>
      </c>
      <c r="C47" s="400">
        <v>39580</v>
      </c>
      <c r="D47" s="247" t="s">
        <v>277</v>
      </c>
      <c r="E47" s="401" t="s">
        <v>41</v>
      </c>
      <c r="F47" s="402" t="s">
        <v>73</v>
      </c>
      <c r="G47" s="403" t="s">
        <v>546</v>
      </c>
      <c r="H47" s="405">
        <v>21500</v>
      </c>
      <c r="I47" s="247"/>
    </row>
    <row r="48" spans="1:90" s="245" customFormat="1" ht="63.75">
      <c r="A48" s="239">
        <v>46</v>
      </c>
      <c r="B48" s="247" t="s">
        <v>285</v>
      </c>
      <c r="C48" s="400">
        <v>39615</v>
      </c>
      <c r="D48" s="247" t="s">
        <v>286</v>
      </c>
      <c r="E48" s="401" t="s">
        <v>52</v>
      </c>
      <c r="F48" s="402" t="s">
        <v>84</v>
      </c>
      <c r="G48" s="403" t="s">
        <v>541</v>
      </c>
      <c r="H48" s="405">
        <v>21500</v>
      </c>
      <c r="I48" s="247"/>
    </row>
    <row r="49" spans="1:90" s="245" customFormat="1" ht="63.75">
      <c r="A49" s="239">
        <v>47</v>
      </c>
      <c r="B49" s="247" t="s">
        <v>285</v>
      </c>
      <c r="C49" s="400">
        <v>39615</v>
      </c>
      <c r="D49" s="412" t="s">
        <v>286</v>
      </c>
      <c r="E49" s="401" t="s">
        <v>52</v>
      </c>
      <c r="F49" s="402" t="s">
        <v>87</v>
      </c>
      <c r="G49" s="403" t="s">
        <v>541</v>
      </c>
      <c r="H49" s="405">
        <v>21500</v>
      </c>
      <c r="I49" s="247"/>
    </row>
    <row r="50" spans="1:90" s="245" customFormat="1" ht="63.75">
      <c r="A50" s="239">
        <v>48</v>
      </c>
      <c r="B50" s="247" t="s">
        <v>285</v>
      </c>
      <c r="C50" s="400">
        <v>39615</v>
      </c>
      <c r="D50" s="412" t="s">
        <v>286</v>
      </c>
      <c r="E50" s="401" t="s">
        <v>52</v>
      </c>
      <c r="F50" s="402" t="s">
        <v>88</v>
      </c>
      <c r="G50" s="403" t="s">
        <v>541</v>
      </c>
      <c r="H50" s="405">
        <v>21500</v>
      </c>
      <c r="I50" s="247"/>
    </row>
    <row r="51" spans="1:90" s="420" customFormat="1" ht="64.5" thickBot="1">
      <c r="A51" s="239">
        <v>49</v>
      </c>
      <c r="B51" s="247" t="s">
        <v>285</v>
      </c>
      <c r="C51" s="400">
        <v>39615</v>
      </c>
      <c r="D51" s="247" t="s">
        <v>286</v>
      </c>
      <c r="E51" s="401" t="s">
        <v>52</v>
      </c>
      <c r="F51" s="410" t="s">
        <v>89</v>
      </c>
      <c r="G51" s="403" t="s">
        <v>541</v>
      </c>
      <c r="H51" s="405">
        <v>21500</v>
      </c>
      <c r="I51" s="247"/>
      <c r="J51" s="245"/>
      <c r="K51" s="245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  <c r="AA51" s="245"/>
      <c r="AB51" s="245"/>
      <c r="AC51" s="245"/>
      <c r="AD51" s="245"/>
      <c r="AE51" s="245"/>
      <c r="AF51" s="245"/>
      <c r="AG51" s="245"/>
      <c r="AH51" s="245"/>
      <c r="AI51" s="245"/>
      <c r="AJ51" s="245"/>
      <c r="AK51" s="245"/>
      <c r="AL51" s="245"/>
      <c r="AM51" s="245"/>
      <c r="AN51" s="245"/>
      <c r="AO51" s="245"/>
      <c r="AP51" s="245"/>
      <c r="AQ51" s="245"/>
      <c r="AR51" s="245"/>
      <c r="AS51" s="245"/>
      <c r="AT51" s="245"/>
      <c r="AU51" s="245"/>
      <c r="AV51" s="245"/>
      <c r="AW51" s="245"/>
      <c r="AX51" s="245"/>
      <c r="AY51" s="245"/>
      <c r="AZ51" s="245"/>
      <c r="BA51" s="245"/>
      <c r="BB51" s="245"/>
      <c r="BC51" s="245"/>
      <c r="BD51" s="245"/>
      <c r="BE51" s="245"/>
      <c r="BF51" s="245"/>
      <c r="BG51" s="245"/>
      <c r="BH51" s="245"/>
      <c r="BI51" s="245"/>
      <c r="BJ51" s="245"/>
      <c r="BK51" s="245"/>
      <c r="BL51" s="245"/>
      <c r="BM51" s="245"/>
      <c r="BN51" s="245"/>
      <c r="BO51" s="245"/>
      <c r="BP51" s="245"/>
      <c r="BQ51" s="245"/>
      <c r="BR51" s="245"/>
      <c r="BS51" s="245"/>
      <c r="BT51" s="245"/>
      <c r="BU51" s="245"/>
      <c r="BV51" s="245"/>
      <c r="BW51" s="245"/>
      <c r="BX51" s="245"/>
      <c r="BY51" s="245"/>
      <c r="BZ51" s="245"/>
      <c r="CA51" s="245"/>
      <c r="CB51" s="245"/>
      <c r="CC51" s="245"/>
      <c r="CD51" s="245"/>
      <c r="CE51" s="245"/>
      <c r="CF51" s="245"/>
      <c r="CG51" s="245"/>
      <c r="CH51" s="245"/>
      <c r="CI51" s="245"/>
      <c r="CJ51" s="245"/>
      <c r="CK51" s="245"/>
      <c r="CL51" s="245"/>
    </row>
    <row r="52" spans="1:90" s="245" customFormat="1" ht="63.75">
      <c r="A52" s="239">
        <v>50</v>
      </c>
      <c r="B52" s="414" t="s">
        <v>285</v>
      </c>
      <c r="C52" s="415">
        <v>39615</v>
      </c>
      <c r="D52" s="421" t="s">
        <v>286</v>
      </c>
      <c r="E52" s="419" t="s">
        <v>52</v>
      </c>
      <c r="F52" s="414" t="s">
        <v>90</v>
      </c>
      <c r="G52" s="417" t="s">
        <v>541</v>
      </c>
      <c r="H52" s="418">
        <v>21500</v>
      </c>
      <c r="I52" s="419" t="s">
        <v>1142</v>
      </c>
    </row>
    <row r="53" spans="1:90" s="245" customFormat="1" ht="63.75">
      <c r="A53" s="239">
        <v>51</v>
      </c>
      <c r="B53" s="247" t="s">
        <v>285</v>
      </c>
      <c r="C53" s="400">
        <v>39615</v>
      </c>
      <c r="D53" s="247" t="s">
        <v>286</v>
      </c>
      <c r="E53" s="401" t="s">
        <v>52</v>
      </c>
      <c r="F53" s="402" t="s">
        <v>91</v>
      </c>
      <c r="G53" s="403" t="s">
        <v>541</v>
      </c>
      <c r="H53" s="405">
        <v>21500</v>
      </c>
      <c r="I53" s="247"/>
    </row>
    <row r="54" spans="1:90" s="420" customFormat="1" ht="64.5" thickBot="1">
      <c r="A54" s="239">
        <v>52</v>
      </c>
      <c r="B54" s="247" t="s">
        <v>301</v>
      </c>
      <c r="C54" s="400">
        <v>39687</v>
      </c>
      <c r="D54" s="247" t="s">
        <v>302</v>
      </c>
      <c r="E54" s="401" t="s">
        <v>52</v>
      </c>
      <c r="F54" s="402" t="s">
        <v>66</v>
      </c>
      <c r="G54" s="403" t="s">
        <v>541</v>
      </c>
      <c r="H54" s="405">
        <v>21500</v>
      </c>
      <c r="I54" s="247"/>
      <c r="J54" s="245"/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5"/>
      <c r="AB54" s="245"/>
      <c r="AC54" s="245"/>
      <c r="AD54" s="245"/>
      <c r="AE54" s="245"/>
      <c r="AF54" s="245"/>
      <c r="AG54" s="245"/>
      <c r="AH54" s="245"/>
      <c r="AI54" s="245"/>
      <c r="AJ54" s="245"/>
      <c r="AK54" s="245"/>
      <c r="AL54" s="245"/>
      <c r="AM54" s="245"/>
      <c r="AN54" s="245"/>
      <c r="AO54" s="245"/>
      <c r="AP54" s="245"/>
      <c r="AQ54" s="245"/>
      <c r="AR54" s="245"/>
      <c r="AS54" s="245"/>
      <c r="AT54" s="245"/>
      <c r="AU54" s="245"/>
      <c r="AV54" s="245"/>
      <c r="AW54" s="245"/>
      <c r="AX54" s="245"/>
      <c r="AY54" s="245"/>
      <c r="AZ54" s="245"/>
      <c r="BA54" s="245"/>
      <c r="BB54" s="245"/>
      <c r="BC54" s="245"/>
      <c r="BD54" s="245"/>
      <c r="BE54" s="245"/>
      <c r="BF54" s="245"/>
      <c r="BG54" s="245"/>
      <c r="BH54" s="245"/>
      <c r="BI54" s="245"/>
      <c r="BJ54" s="245"/>
      <c r="BK54" s="245"/>
      <c r="BL54" s="245"/>
      <c r="BM54" s="245"/>
      <c r="BN54" s="245"/>
      <c r="BO54" s="245"/>
      <c r="BP54" s="245"/>
      <c r="BQ54" s="245"/>
      <c r="BR54" s="245"/>
      <c r="BS54" s="245"/>
      <c r="BT54" s="245"/>
      <c r="BU54" s="245"/>
      <c r="BV54" s="245"/>
      <c r="BW54" s="245"/>
      <c r="BX54" s="245"/>
      <c r="BY54" s="245"/>
      <c r="BZ54" s="245"/>
      <c r="CA54" s="245"/>
      <c r="CB54" s="245"/>
      <c r="CC54" s="245"/>
      <c r="CD54" s="245"/>
      <c r="CE54" s="245"/>
      <c r="CF54" s="245"/>
      <c r="CG54" s="245"/>
      <c r="CH54" s="245"/>
      <c r="CI54" s="245"/>
      <c r="CJ54" s="245"/>
      <c r="CK54" s="245"/>
      <c r="CL54" s="245"/>
    </row>
    <row r="55" spans="1:90" s="245" customFormat="1" ht="63.75">
      <c r="A55" s="239">
        <v>53</v>
      </c>
      <c r="B55" s="247" t="s">
        <v>301</v>
      </c>
      <c r="C55" s="400">
        <v>39687</v>
      </c>
      <c r="D55" s="247" t="s">
        <v>302</v>
      </c>
      <c r="E55" s="401" t="s">
        <v>52</v>
      </c>
      <c r="F55" s="402" t="s">
        <v>92</v>
      </c>
      <c r="G55" s="403" t="s">
        <v>541</v>
      </c>
      <c r="H55" s="405">
        <v>21500</v>
      </c>
      <c r="I55" s="247"/>
    </row>
    <row r="56" spans="1:90" s="245" customFormat="1" ht="63.75">
      <c r="A56" s="239">
        <v>54</v>
      </c>
      <c r="B56" s="247" t="s">
        <v>301</v>
      </c>
      <c r="C56" s="400">
        <v>39687</v>
      </c>
      <c r="D56" s="247" t="s">
        <v>302</v>
      </c>
      <c r="E56" s="401" t="s">
        <v>52</v>
      </c>
      <c r="F56" s="410" t="s">
        <v>93</v>
      </c>
      <c r="G56" s="403" t="s">
        <v>541</v>
      </c>
      <c r="H56" s="405">
        <v>21500</v>
      </c>
      <c r="I56" s="239"/>
    </row>
    <row r="57" spans="1:90" s="245" customFormat="1" ht="63.75">
      <c r="A57" s="239">
        <v>55</v>
      </c>
      <c r="B57" s="247" t="s">
        <v>301</v>
      </c>
      <c r="C57" s="400">
        <v>39687</v>
      </c>
      <c r="D57" s="247" t="s">
        <v>302</v>
      </c>
      <c r="E57" s="401" t="s">
        <v>52</v>
      </c>
      <c r="F57" s="402" t="s">
        <v>94</v>
      </c>
      <c r="G57" s="403" t="s">
        <v>541</v>
      </c>
      <c r="H57" s="405">
        <v>21500</v>
      </c>
      <c r="I57" s="239"/>
    </row>
    <row r="58" spans="1:90" s="245" customFormat="1" ht="63.75">
      <c r="A58" s="239">
        <v>56</v>
      </c>
      <c r="B58" s="247" t="s">
        <v>270</v>
      </c>
      <c r="C58" s="400">
        <v>39737</v>
      </c>
      <c r="D58" s="247" t="s">
        <v>271</v>
      </c>
      <c r="E58" s="401" t="s">
        <v>52</v>
      </c>
      <c r="F58" s="402" t="s">
        <v>95</v>
      </c>
      <c r="G58" s="403" t="s">
        <v>541</v>
      </c>
      <c r="H58" s="405">
        <v>21500</v>
      </c>
      <c r="I58" s="247"/>
    </row>
    <row r="59" spans="1:90" s="245" customFormat="1" ht="63.75">
      <c r="A59" s="239">
        <v>57</v>
      </c>
      <c r="B59" s="247" t="s">
        <v>270</v>
      </c>
      <c r="C59" s="400">
        <v>39737</v>
      </c>
      <c r="D59" s="247" t="s">
        <v>271</v>
      </c>
      <c r="E59" s="401" t="s">
        <v>52</v>
      </c>
      <c r="F59" s="402" t="s">
        <v>96</v>
      </c>
      <c r="G59" s="403" t="s">
        <v>541</v>
      </c>
      <c r="H59" s="405">
        <v>21500</v>
      </c>
      <c r="I59" s="247"/>
    </row>
    <row r="60" spans="1:90" s="245" customFormat="1" ht="63.75">
      <c r="A60" s="239">
        <v>58</v>
      </c>
      <c r="B60" s="247" t="s">
        <v>270</v>
      </c>
      <c r="C60" s="400">
        <v>39737</v>
      </c>
      <c r="D60" s="247" t="s">
        <v>271</v>
      </c>
      <c r="E60" s="401" t="s">
        <v>52</v>
      </c>
      <c r="F60" s="402" t="s">
        <v>97</v>
      </c>
      <c r="G60" s="403" t="s">
        <v>541</v>
      </c>
      <c r="H60" s="405">
        <v>21500</v>
      </c>
      <c r="I60" s="239"/>
    </row>
    <row r="61" spans="1:90" s="245" customFormat="1" ht="63.75">
      <c r="A61" s="239">
        <v>59</v>
      </c>
      <c r="B61" s="247" t="s">
        <v>270</v>
      </c>
      <c r="C61" s="400">
        <v>39737</v>
      </c>
      <c r="D61" s="247" t="s">
        <v>271</v>
      </c>
      <c r="E61" s="401" t="s">
        <v>52</v>
      </c>
      <c r="F61" s="402" t="s">
        <v>98</v>
      </c>
      <c r="G61" s="403" t="s">
        <v>541</v>
      </c>
      <c r="H61" s="423">
        <v>21500</v>
      </c>
      <c r="I61" s="239"/>
    </row>
    <row r="62" spans="1:90" s="420" customFormat="1" ht="26.25" thickBot="1">
      <c r="A62" s="239">
        <v>60</v>
      </c>
      <c r="B62" s="414" t="s">
        <v>270</v>
      </c>
      <c r="C62" s="415">
        <v>39737</v>
      </c>
      <c r="D62" s="421" t="s">
        <v>271</v>
      </c>
      <c r="E62" s="419" t="s">
        <v>52</v>
      </c>
      <c r="F62" s="414" t="s">
        <v>99</v>
      </c>
      <c r="G62" s="417" t="s">
        <v>272</v>
      </c>
      <c r="H62" s="418">
        <v>21500</v>
      </c>
      <c r="I62" s="419" t="s">
        <v>1142</v>
      </c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  <c r="AB62" s="245"/>
      <c r="AC62" s="245"/>
      <c r="AD62" s="245"/>
      <c r="AE62" s="245"/>
      <c r="AF62" s="245"/>
      <c r="AG62" s="245"/>
      <c r="AH62" s="245"/>
      <c r="AI62" s="245"/>
      <c r="AJ62" s="245"/>
      <c r="AK62" s="245"/>
      <c r="AL62" s="245"/>
      <c r="AM62" s="245"/>
      <c r="AN62" s="245"/>
      <c r="AO62" s="245"/>
      <c r="AP62" s="245"/>
      <c r="AQ62" s="245"/>
      <c r="AR62" s="245"/>
      <c r="AS62" s="245"/>
      <c r="AT62" s="245"/>
      <c r="AU62" s="245"/>
      <c r="AV62" s="245"/>
      <c r="AW62" s="245"/>
      <c r="AX62" s="245"/>
      <c r="AY62" s="245"/>
      <c r="AZ62" s="245"/>
      <c r="BA62" s="245"/>
      <c r="BB62" s="245"/>
      <c r="BC62" s="245"/>
      <c r="BD62" s="245"/>
      <c r="BE62" s="245"/>
      <c r="BF62" s="245"/>
      <c r="BG62" s="245"/>
      <c r="BH62" s="245"/>
      <c r="BI62" s="245"/>
      <c r="BJ62" s="245"/>
      <c r="BK62" s="245"/>
      <c r="BL62" s="245"/>
      <c r="BM62" s="245"/>
      <c r="BN62" s="245"/>
      <c r="BO62" s="245"/>
      <c r="BP62" s="245"/>
      <c r="BQ62" s="245"/>
      <c r="BR62" s="245"/>
      <c r="BS62" s="245"/>
      <c r="BT62" s="245"/>
      <c r="BU62" s="245"/>
      <c r="BV62" s="245"/>
      <c r="BW62" s="245"/>
      <c r="BX62" s="245"/>
      <c r="BY62" s="245"/>
      <c r="BZ62" s="245"/>
      <c r="CA62" s="245"/>
      <c r="CB62" s="245"/>
      <c r="CC62" s="245"/>
      <c r="CD62" s="245"/>
      <c r="CE62" s="245"/>
      <c r="CF62" s="245"/>
      <c r="CG62" s="245"/>
      <c r="CH62" s="245"/>
      <c r="CI62" s="245"/>
      <c r="CJ62" s="245"/>
      <c r="CK62" s="245"/>
      <c r="CL62" s="245"/>
    </row>
    <row r="63" spans="1:90" s="424" customFormat="1" ht="63.75">
      <c r="A63" s="239">
        <v>61</v>
      </c>
      <c r="B63" s="247" t="s">
        <v>278</v>
      </c>
      <c r="C63" s="400">
        <v>39818</v>
      </c>
      <c r="D63" s="412" t="s">
        <v>279</v>
      </c>
      <c r="E63" s="401" t="s">
        <v>52</v>
      </c>
      <c r="F63" s="402" t="s">
        <v>110</v>
      </c>
      <c r="G63" s="403" t="s">
        <v>541</v>
      </c>
      <c r="H63" s="405">
        <v>21500</v>
      </c>
      <c r="I63" s="247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  <c r="AA63" s="245"/>
      <c r="AB63" s="245"/>
      <c r="AC63" s="245"/>
      <c r="AD63" s="245"/>
      <c r="AE63" s="245"/>
      <c r="AF63" s="245"/>
      <c r="AG63" s="245"/>
      <c r="AH63" s="245"/>
      <c r="AI63" s="245"/>
      <c r="AJ63" s="245"/>
      <c r="AK63" s="245"/>
      <c r="AL63" s="245"/>
      <c r="AM63" s="245"/>
      <c r="AN63" s="245"/>
      <c r="AO63" s="245"/>
      <c r="AP63" s="245"/>
      <c r="AQ63" s="245"/>
      <c r="AR63" s="245"/>
      <c r="AS63" s="245"/>
      <c r="AT63" s="245"/>
      <c r="AU63" s="245"/>
      <c r="AV63" s="245"/>
      <c r="AW63" s="245"/>
      <c r="AX63" s="245"/>
      <c r="AY63" s="245"/>
      <c r="AZ63" s="245"/>
      <c r="BA63" s="245"/>
      <c r="BB63" s="245"/>
      <c r="BC63" s="245"/>
      <c r="BD63" s="245"/>
      <c r="BE63" s="245"/>
      <c r="BF63" s="245"/>
      <c r="BG63" s="245"/>
      <c r="BH63" s="245"/>
      <c r="BI63" s="245"/>
      <c r="BJ63" s="245"/>
      <c r="BK63" s="245"/>
      <c r="BL63" s="245"/>
      <c r="BM63" s="245"/>
      <c r="BN63" s="245"/>
      <c r="BO63" s="245"/>
      <c r="BP63" s="245"/>
      <c r="BQ63" s="245"/>
      <c r="BR63" s="245"/>
      <c r="BS63" s="245"/>
      <c r="BT63" s="245"/>
      <c r="BU63" s="245"/>
      <c r="BV63" s="245"/>
      <c r="BW63" s="245"/>
      <c r="BX63" s="245"/>
      <c r="BY63" s="245"/>
      <c r="BZ63" s="245"/>
      <c r="CA63" s="245"/>
      <c r="CB63" s="245"/>
      <c r="CC63" s="245"/>
      <c r="CD63" s="245"/>
      <c r="CE63" s="245"/>
      <c r="CF63" s="245"/>
      <c r="CG63" s="245"/>
      <c r="CH63" s="245"/>
      <c r="CI63" s="245"/>
      <c r="CJ63" s="245"/>
      <c r="CK63" s="245"/>
      <c r="CL63" s="245"/>
    </row>
    <row r="64" spans="1:90" s="420" customFormat="1" ht="64.5" thickBot="1">
      <c r="A64" s="239">
        <v>62</v>
      </c>
      <c r="B64" s="414" t="s">
        <v>278</v>
      </c>
      <c r="C64" s="415">
        <v>39818</v>
      </c>
      <c r="D64" s="421" t="s">
        <v>279</v>
      </c>
      <c r="E64" s="419" t="s">
        <v>52</v>
      </c>
      <c r="F64" s="414">
        <v>102281</v>
      </c>
      <c r="G64" s="417" t="s">
        <v>541</v>
      </c>
      <c r="H64" s="418">
        <v>21500</v>
      </c>
      <c r="I64" s="419" t="s">
        <v>1142</v>
      </c>
      <c r="J64" s="245"/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  <c r="AA64" s="245"/>
      <c r="AB64" s="245"/>
      <c r="AC64" s="245"/>
      <c r="AD64" s="245"/>
      <c r="AE64" s="245"/>
      <c r="AF64" s="245"/>
      <c r="AG64" s="245"/>
      <c r="AH64" s="245"/>
      <c r="AI64" s="245"/>
      <c r="AJ64" s="245"/>
      <c r="AK64" s="245"/>
      <c r="AL64" s="245"/>
      <c r="AM64" s="245"/>
      <c r="AN64" s="245"/>
      <c r="AO64" s="245"/>
      <c r="AP64" s="245"/>
      <c r="AQ64" s="245"/>
      <c r="AR64" s="245"/>
      <c r="AS64" s="245"/>
      <c r="AT64" s="245"/>
      <c r="AU64" s="245"/>
      <c r="AV64" s="245"/>
      <c r="AW64" s="245"/>
      <c r="AX64" s="245"/>
      <c r="AY64" s="245"/>
      <c r="AZ64" s="245"/>
      <c r="BA64" s="245"/>
      <c r="BB64" s="245"/>
      <c r="BC64" s="245"/>
      <c r="BD64" s="245"/>
      <c r="BE64" s="245"/>
      <c r="BF64" s="245"/>
      <c r="BG64" s="245"/>
      <c r="BH64" s="245"/>
      <c r="BI64" s="245"/>
      <c r="BJ64" s="245"/>
      <c r="BK64" s="245"/>
      <c r="BL64" s="245"/>
      <c r="BM64" s="245"/>
      <c r="BN64" s="245"/>
      <c r="BO64" s="245"/>
      <c r="BP64" s="245"/>
      <c r="BQ64" s="245"/>
      <c r="BR64" s="245"/>
      <c r="BS64" s="245"/>
      <c r="BT64" s="245"/>
      <c r="BU64" s="245"/>
      <c r="BV64" s="245"/>
      <c r="BW64" s="245"/>
      <c r="BX64" s="245"/>
      <c r="BY64" s="245"/>
      <c r="BZ64" s="245"/>
      <c r="CA64" s="245"/>
      <c r="CB64" s="245"/>
      <c r="CC64" s="245"/>
      <c r="CD64" s="245"/>
      <c r="CE64" s="245"/>
      <c r="CF64" s="245"/>
      <c r="CG64" s="245"/>
      <c r="CH64" s="245"/>
      <c r="CI64" s="245"/>
      <c r="CJ64" s="245"/>
      <c r="CK64" s="245"/>
      <c r="CL64" s="245"/>
    </row>
    <row r="65" spans="1:90" s="245" customFormat="1" ht="63.75">
      <c r="A65" s="239">
        <v>63</v>
      </c>
      <c r="B65" s="247" t="s">
        <v>278</v>
      </c>
      <c r="C65" s="400">
        <v>39818</v>
      </c>
      <c r="D65" s="412" t="s">
        <v>279</v>
      </c>
      <c r="E65" s="401" t="s">
        <v>52</v>
      </c>
      <c r="F65" s="402" t="s">
        <v>130</v>
      </c>
      <c r="G65" s="403" t="s">
        <v>541</v>
      </c>
      <c r="H65" s="405">
        <v>21500</v>
      </c>
      <c r="I65" s="247"/>
    </row>
    <row r="66" spans="1:90" s="245" customFormat="1" ht="63.75">
      <c r="A66" s="239">
        <v>64</v>
      </c>
      <c r="B66" s="247" t="s">
        <v>278</v>
      </c>
      <c r="C66" s="400">
        <v>39818</v>
      </c>
      <c r="D66" s="412" t="s">
        <v>279</v>
      </c>
      <c r="E66" s="401" t="s">
        <v>52</v>
      </c>
      <c r="F66" s="402" t="s">
        <v>131</v>
      </c>
      <c r="G66" s="403" t="s">
        <v>541</v>
      </c>
      <c r="H66" s="405">
        <v>21500</v>
      </c>
      <c r="I66" s="247"/>
    </row>
    <row r="67" spans="1:90" s="245" customFormat="1" ht="63.75">
      <c r="A67" s="239">
        <v>65</v>
      </c>
      <c r="B67" s="414" t="s">
        <v>278</v>
      </c>
      <c r="C67" s="415">
        <v>39818</v>
      </c>
      <c r="D67" s="421" t="s">
        <v>279</v>
      </c>
      <c r="E67" s="419" t="s">
        <v>52</v>
      </c>
      <c r="F67" s="425">
        <v>102284</v>
      </c>
      <c r="G67" s="417" t="s">
        <v>541</v>
      </c>
      <c r="H67" s="418">
        <v>21500</v>
      </c>
      <c r="I67" s="419" t="s">
        <v>1142</v>
      </c>
    </row>
    <row r="68" spans="1:90" s="245" customFormat="1" ht="63.75">
      <c r="A68" s="239">
        <v>66</v>
      </c>
      <c r="B68" s="247" t="s">
        <v>278</v>
      </c>
      <c r="C68" s="400">
        <v>39818</v>
      </c>
      <c r="D68" s="426" t="s">
        <v>279</v>
      </c>
      <c r="E68" s="401" t="s">
        <v>52</v>
      </c>
      <c r="F68" s="410" t="s">
        <v>132</v>
      </c>
      <c r="G68" s="403" t="s">
        <v>541</v>
      </c>
      <c r="H68" s="405">
        <v>21500</v>
      </c>
      <c r="I68" s="247"/>
    </row>
    <row r="69" spans="1:90" s="245" customFormat="1" ht="63.75">
      <c r="A69" s="239">
        <v>67</v>
      </c>
      <c r="B69" s="247" t="s">
        <v>278</v>
      </c>
      <c r="C69" s="400">
        <v>39818</v>
      </c>
      <c r="D69" s="412" t="s">
        <v>279</v>
      </c>
      <c r="E69" s="401" t="s">
        <v>52</v>
      </c>
      <c r="F69" s="410">
        <v>102287</v>
      </c>
      <c r="G69" s="403" t="s">
        <v>541</v>
      </c>
      <c r="H69" s="405">
        <v>21500</v>
      </c>
      <c r="I69" s="239"/>
    </row>
    <row r="70" spans="1:90" s="420" customFormat="1" ht="64.5" thickBot="1">
      <c r="A70" s="239">
        <v>68</v>
      </c>
      <c r="B70" s="414" t="s">
        <v>312</v>
      </c>
      <c r="C70" s="415">
        <v>39821</v>
      </c>
      <c r="D70" s="421" t="s">
        <v>313</v>
      </c>
      <c r="E70" s="419" t="s">
        <v>52</v>
      </c>
      <c r="F70" s="414">
        <v>102289</v>
      </c>
      <c r="G70" s="417" t="s">
        <v>541</v>
      </c>
      <c r="H70" s="418">
        <v>21500</v>
      </c>
      <c r="I70" s="419" t="s">
        <v>1142</v>
      </c>
      <c r="J70" s="245"/>
      <c r="K70" s="245"/>
      <c r="L70" s="245"/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  <c r="AA70" s="245"/>
      <c r="AB70" s="245"/>
      <c r="AC70" s="245"/>
      <c r="AD70" s="245"/>
      <c r="AE70" s="245"/>
      <c r="AF70" s="245"/>
      <c r="AG70" s="245"/>
      <c r="AH70" s="245"/>
      <c r="AI70" s="245"/>
      <c r="AJ70" s="245"/>
      <c r="AK70" s="245"/>
      <c r="AL70" s="245"/>
      <c r="AM70" s="245"/>
      <c r="AN70" s="245"/>
      <c r="AO70" s="245"/>
      <c r="AP70" s="245"/>
      <c r="AQ70" s="245"/>
      <c r="AR70" s="245"/>
      <c r="AS70" s="245"/>
      <c r="AT70" s="245"/>
      <c r="AU70" s="245"/>
      <c r="AV70" s="245"/>
      <c r="AW70" s="245"/>
      <c r="AX70" s="245"/>
      <c r="AY70" s="245"/>
      <c r="AZ70" s="245"/>
      <c r="BA70" s="245"/>
      <c r="BB70" s="245"/>
      <c r="BC70" s="245"/>
      <c r="BD70" s="245"/>
      <c r="BE70" s="245"/>
      <c r="BF70" s="245"/>
      <c r="BG70" s="245"/>
      <c r="BH70" s="245"/>
      <c r="BI70" s="245"/>
      <c r="BJ70" s="245"/>
      <c r="BK70" s="245"/>
      <c r="BL70" s="245"/>
      <c r="BM70" s="245"/>
      <c r="BN70" s="245"/>
      <c r="BO70" s="245"/>
      <c r="BP70" s="245"/>
      <c r="BQ70" s="245"/>
      <c r="BR70" s="245"/>
      <c r="BS70" s="245"/>
      <c r="BT70" s="245"/>
      <c r="BU70" s="245"/>
      <c r="BV70" s="245"/>
      <c r="BW70" s="245"/>
      <c r="BX70" s="245"/>
      <c r="BY70" s="245"/>
      <c r="BZ70" s="245"/>
      <c r="CA70" s="245"/>
      <c r="CB70" s="245"/>
      <c r="CC70" s="245"/>
      <c r="CD70" s="245"/>
      <c r="CE70" s="245"/>
      <c r="CF70" s="245"/>
      <c r="CG70" s="245"/>
      <c r="CH70" s="245"/>
      <c r="CI70" s="245"/>
      <c r="CJ70" s="245"/>
      <c r="CK70" s="245"/>
      <c r="CL70" s="245"/>
    </row>
    <row r="71" spans="1:90" s="424" customFormat="1" ht="63.75">
      <c r="A71" s="239">
        <v>69</v>
      </c>
      <c r="B71" s="247" t="s">
        <v>278</v>
      </c>
      <c r="C71" s="400">
        <v>39818</v>
      </c>
      <c r="D71" s="412" t="s">
        <v>279</v>
      </c>
      <c r="E71" s="401" t="s">
        <v>52</v>
      </c>
      <c r="F71" s="402" t="s">
        <v>135</v>
      </c>
      <c r="G71" s="403" t="s">
        <v>541</v>
      </c>
      <c r="H71" s="405">
        <v>21500</v>
      </c>
      <c r="I71" s="247"/>
      <c r="J71" s="245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  <c r="AA71" s="245"/>
      <c r="AB71" s="245"/>
      <c r="AC71" s="245"/>
      <c r="AD71" s="245"/>
      <c r="AE71" s="245"/>
      <c r="AF71" s="245"/>
      <c r="AG71" s="245"/>
      <c r="AH71" s="245"/>
      <c r="AI71" s="245"/>
      <c r="AJ71" s="245"/>
      <c r="AK71" s="245"/>
      <c r="AL71" s="245"/>
      <c r="AM71" s="245"/>
      <c r="AN71" s="245"/>
      <c r="AO71" s="245"/>
      <c r="AP71" s="245"/>
      <c r="AQ71" s="245"/>
      <c r="AR71" s="245"/>
      <c r="AS71" s="245"/>
      <c r="AT71" s="245"/>
      <c r="AU71" s="245"/>
      <c r="AV71" s="245"/>
      <c r="AW71" s="245"/>
      <c r="AX71" s="245"/>
      <c r="AY71" s="245"/>
      <c r="AZ71" s="245"/>
      <c r="BA71" s="245"/>
      <c r="BB71" s="245"/>
      <c r="BC71" s="245"/>
      <c r="BD71" s="245"/>
      <c r="BE71" s="245"/>
      <c r="BF71" s="245"/>
      <c r="BG71" s="245"/>
      <c r="BH71" s="245"/>
      <c r="BI71" s="245"/>
      <c r="BJ71" s="245"/>
      <c r="BK71" s="245"/>
      <c r="BL71" s="245"/>
      <c r="BM71" s="245"/>
      <c r="BN71" s="245"/>
      <c r="BO71" s="245"/>
      <c r="BP71" s="245"/>
      <c r="BQ71" s="245"/>
      <c r="BR71" s="245"/>
      <c r="BS71" s="245"/>
      <c r="BT71" s="245"/>
      <c r="BU71" s="245"/>
      <c r="BV71" s="245"/>
      <c r="BW71" s="245"/>
      <c r="BX71" s="245"/>
      <c r="BY71" s="245"/>
      <c r="BZ71" s="245"/>
      <c r="CA71" s="245"/>
      <c r="CB71" s="245"/>
      <c r="CC71" s="245"/>
      <c r="CD71" s="245"/>
      <c r="CE71" s="245"/>
      <c r="CF71" s="245"/>
      <c r="CG71" s="245"/>
      <c r="CH71" s="245"/>
      <c r="CI71" s="245"/>
      <c r="CJ71" s="245"/>
      <c r="CK71" s="245"/>
      <c r="CL71" s="245"/>
    </row>
    <row r="72" spans="1:90" s="245" customFormat="1" ht="63.75">
      <c r="A72" s="239">
        <v>70</v>
      </c>
      <c r="B72" s="247" t="s">
        <v>312</v>
      </c>
      <c r="C72" s="400">
        <v>39821</v>
      </c>
      <c r="D72" s="247" t="s">
        <v>313</v>
      </c>
      <c r="E72" s="401" t="s">
        <v>52</v>
      </c>
      <c r="F72" s="402" t="s">
        <v>136</v>
      </c>
      <c r="G72" s="403" t="s">
        <v>541</v>
      </c>
      <c r="H72" s="405">
        <v>21500</v>
      </c>
      <c r="I72" s="247"/>
    </row>
    <row r="73" spans="1:90" s="245" customFormat="1" ht="63.75">
      <c r="A73" s="239">
        <v>71</v>
      </c>
      <c r="B73" s="247" t="s">
        <v>312</v>
      </c>
      <c r="C73" s="400">
        <v>39821</v>
      </c>
      <c r="D73" s="247" t="s">
        <v>313</v>
      </c>
      <c r="E73" s="401" t="s">
        <v>52</v>
      </c>
      <c r="F73" s="402" t="s">
        <v>137</v>
      </c>
      <c r="G73" s="403" t="s">
        <v>541</v>
      </c>
      <c r="H73" s="405">
        <v>21500</v>
      </c>
      <c r="I73" s="247"/>
    </row>
    <row r="74" spans="1:90" s="420" customFormat="1" ht="64.5" thickBot="1">
      <c r="A74" s="239">
        <v>72</v>
      </c>
      <c r="B74" s="247" t="s">
        <v>349</v>
      </c>
      <c r="C74" s="247" t="s">
        <v>350</v>
      </c>
      <c r="D74" s="247" t="s">
        <v>298</v>
      </c>
      <c r="E74" s="401" t="s">
        <v>52</v>
      </c>
      <c r="F74" s="402">
        <v>103003</v>
      </c>
      <c r="G74" s="403" t="s">
        <v>541</v>
      </c>
      <c r="H74" s="405">
        <v>21500</v>
      </c>
      <c r="I74" s="247"/>
      <c r="J74" s="245"/>
      <c r="K74" s="245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  <c r="AA74" s="245"/>
      <c r="AB74" s="245"/>
      <c r="AC74" s="245"/>
      <c r="AD74" s="245"/>
      <c r="AE74" s="245"/>
      <c r="AF74" s="245"/>
      <c r="AG74" s="245"/>
      <c r="AH74" s="245"/>
      <c r="AI74" s="245"/>
      <c r="AJ74" s="245"/>
      <c r="AK74" s="245"/>
      <c r="AL74" s="245"/>
      <c r="AM74" s="245"/>
      <c r="AN74" s="245"/>
      <c r="AO74" s="245"/>
      <c r="AP74" s="245"/>
      <c r="AQ74" s="245"/>
      <c r="AR74" s="245"/>
      <c r="AS74" s="245"/>
      <c r="AT74" s="245"/>
      <c r="AU74" s="245"/>
      <c r="AV74" s="245"/>
      <c r="AW74" s="245"/>
      <c r="AX74" s="245"/>
      <c r="AY74" s="245"/>
      <c r="AZ74" s="245"/>
      <c r="BA74" s="245"/>
      <c r="BB74" s="245"/>
      <c r="BC74" s="245"/>
      <c r="BD74" s="245"/>
      <c r="BE74" s="245"/>
      <c r="BF74" s="245"/>
      <c r="BG74" s="245"/>
      <c r="BH74" s="245"/>
      <c r="BI74" s="245"/>
      <c r="BJ74" s="245"/>
      <c r="BK74" s="245"/>
      <c r="BL74" s="245"/>
      <c r="BM74" s="245"/>
      <c r="BN74" s="245"/>
      <c r="BO74" s="245"/>
      <c r="BP74" s="245"/>
      <c r="BQ74" s="245"/>
      <c r="BR74" s="245"/>
      <c r="BS74" s="245"/>
      <c r="BT74" s="245"/>
      <c r="BU74" s="245"/>
      <c r="BV74" s="245"/>
      <c r="BW74" s="245"/>
      <c r="BX74" s="245"/>
      <c r="BY74" s="245"/>
      <c r="BZ74" s="245"/>
      <c r="CA74" s="245"/>
      <c r="CB74" s="245"/>
      <c r="CC74" s="245"/>
      <c r="CD74" s="245"/>
      <c r="CE74" s="245"/>
      <c r="CF74" s="245"/>
      <c r="CG74" s="245"/>
      <c r="CH74" s="245"/>
      <c r="CI74" s="245"/>
      <c r="CJ74" s="245"/>
      <c r="CK74" s="245"/>
      <c r="CL74" s="245"/>
    </row>
    <row r="75" spans="1:90" s="245" customFormat="1" ht="63.75">
      <c r="A75" s="239">
        <v>73</v>
      </c>
      <c r="B75" s="247" t="s">
        <v>296</v>
      </c>
      <c r="C75" s="247" t="s">
        <v>297</v>
      </c>
      <c r="D75" s="247" t="s">
        <v>298</v>
      </c>
      <c r="E75" s="401" t="s">
        <v>52</v>
      </c>
      <c r="F75" s="402" t="s">
        <v>163</v>
      </c>
      <c r="G75" s="403" t="s">
        <v>541</v>
      </c>
      <c r="H75" s="405">
        <v>21500</v>
      </c>
      <c r="I75" s="247"/>
    </row>
    <row r="76" spans="1:90" s="245" customFormat="1" ht="38.25">
      <c r="A76" s="239">
        <v>74</v>
      </c>
      <c r="B76" s="247" t="s">
        <v>344</v>
      </c>
      <c r="C76" s="400">
        <v>39958</v>
      </c>
      <c r="D76" s="247" t="s">
        <v>345</v>
      </c>
      <c r="E76" s="401" t="s">
        <v>41</v>
      </c>
      <c r="F76" s="402" t="s">
        <v>80</v>
      </c>
      <c r="G76" s="403" t="s">
        <v>548</v>
      </c>
      <c r="H76" s="405">
        <v>11825</v>
      </c>
      <c r="I76" s="247"/>
    </row>
    <row r="77" spans="1:90" s="245" customFormat="1" ht="63.75">
      <c r="A77" s="239">
        <v>75</v>
      </c>
      <c r="B77" s="414" t="s">
        <v>303</v>
      </c>
      <c r="C77" s="415">
        <v>40052</v>
      </c>
      <c r="D77" s="421" t="s">
        <v>304</v>
      </c>
      <c r="E77" s="419" t="s">
        <v>52</v>
      </c>
      <c r="F77" s="414">
        <v>102293</v>
      </c>
      <c r="G77" s="417" t="s">
        <v>541</v>
      </c>
      <c r="H77" s="418">
        <v>21500</v>
      </c>
      <c r="I77" s="419" t="s">
        <v>1142</v>
      </c>
    </row>
    <row r="78" spans="1:90" s="245" customFormat="1" ht="63.75">
      <c r="A78" s="239">
        <v>76</v>
      </c>
      <c r="B78" s="247" t="s">
        <v>299</v>
      </c>
      <c r="C78" s="400">
        <v>40073</v>
      </c>
      <c r="D78" s="247" t="s">
        <v>300</v>
      </c>
      <c r="E78" s="401" t="s">
        <v>52</v>
      </c>
      <c r="F78" s="402" t="s">
        <v>156</v>
      </c>
      <c r="G78" s="403" t="s">
        <v>541</v>
      </c>
      <c r="H78" s="405">
        <v>21500</v>
      </c>
      <c r="I78" s="247"/>
    </row>
    <row r="79" spans="1:90" s="245" customFormat="1" ht="63.75">
      <c r="A79" s="239">
        <v>77</v>
      </c>
      <c r="B79" s="414" t="s">
        <v>299</v>
      </c>
      <c r="C79" s="415">
        <v>40073</v>
      </c>
      <c r="D79" s="421" t="s">
        <v>300</v>
      </c>
      <c r="E79" s="419" t="s">
        <v>52</v>
      </c>
      <c r="F79" s="414">
        <v>102696</v>
      </c>
      <c r="G79" s="417" t="s">
        <v>541</v>
      </c>
      <c r="H79" s="418">
        <v>21500</v>
      </c>
      <c r="I79" s="419" t="s">
        <v>1142</v>
      </c>
    </row>
    <row r="80" spans="1:90" s="420" customFormat="1" ht="64.5" thickBot="1">
      <c r="A80" s="239">
        <v>78</v>
      </c>
      <c r="B80" s="247" t="s">
        <v>299</v>
      </c>
      <c r="C80" s="400">
        <v>40073</v>
      </c>
      <c r="D80" s="400" t="s">
        <v>300</v>
      </c>
      <c r="E80" s="401" t="s">
        <v>52</v>
      </c>
      <c r="F80" s="402" t="s">
        <v>160</v>
      </c>
      <c r="G80" s="403" t="s">
        <v>541</v>
      </c>
      <c r="H80" s="405">
        <v>21500</v>
      </c>
      <c r="I80" s="247"/>
      <c r="J80" s="245"/>
      <c r="K80" s="245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  <c r="AA80" s="245"/>
      <c r="AB80" s="245"/>
      <c r="AC80" s="245"/>
      <c r="AD80" s="245"/>
      <c r="AE80" s="245"/>
      <c r="AF80" s="245"/>
      <c r="AG80" s="245"/>
      <c r="AH80" s="245"/>
      <c r="AI80" s="245"/>
      <c r="AJ80" s="245"/>
      <c r="AK80" s="245"/>
      <c r="AL80" s="245"/>
      <c r="AM80" s="245"/>
      <c r="AN80" s="245"/>
      <c r="AO80" s="245"/>
      <c r="AP80" s="245"/>
      <c r="AQ80" s="245"/>
      <c r="AR80" s="245"/>
      <c r="AS80" s="245"/>
      <c r="AT80" s="245"/>
      <c r="AU80" s="245"/>
      <c r="AV80" s="245"/>
      <c r="AW80" s="245"/>
      <c r="AX80" s="245"/>
      <c r="AY80" s="245"/>
      <c r="AZ80" s="245"/>
      <c r="BA80" s="245"/>
      <c r="BB80" s="245"/>
      <c r="BC80" s="245"/>
      <c r="BD80" s="245"/>
      <c r="BE80" s="245"/>
      <c r="BF80" s="245"/>
      <c r="BG80" s="245"/>
      <c r="BH80" s="245"/>
      <c r="BI80" s="245"/>
      <c r="BJ80" s="245"/>
      <c r="BK80" s="245"/>
      <c r="BL80" s="245"/>
      <c r="BM80" s="245"/>
      <c r="BN80" s="245"/>
      <c r="BO80" s="245"/>
      <c r="BP80" s="245"/>
      <c r="BQ80" s="245"/>
      <c r="BR80" s="245"/>
      <c r="BS80" s="245"/>
      <c r="BT80" s="245"/>
      <c r="BU80" s="245"/>
      <c r="BV80" s="245"/>
      <c r="BW80" s="245"/>
      <c r="BX80" s="245"/>
      <c r="BY80" s="245"/>
      <c r="BZ80" s="245"/>
      <c r="CA80" s="245"/>
      <c r="CB80" s="245"/>
      <c r="CC80" s="245"/>
      <c r="CD80" s="245"/>
      <c r="CE80" s="245"/>
      <c r="CF80" s="245"/>
      <c r="CG80" s="245"/>
      <c r="CH80" s="245"/>
      <c r="CI80" s="245"/>
      <c r="CJ80" s="245"/>
      <c r="CK80" s="245"/>
      <c r="CL80" s="245"/>
    </row>
    <row r="81" spans="1:90" s="245" customFormat="1" ht="63.75">
      <c r="A81" s="239">
        <v>79</v>
      </c>
      <c r="B81" s="247" t="s">
        <v>346</v>
      </c>
      <c r="C81" s="400">
        <v>40095</v>
      </c>
      <c r="D81" s="400" t="s">
        <v>347</v>
      </c>
      <c r="E81" s="401" t="s">
        <v>52</v>
      </c>
      <c r="F81" s="410" t="s">
        <v>158</v>
      </c>
      <c r="G81" s="403" t="s">
        <v>541</v>
      </c>
      <c r="H81" s="405">
        <v>21500</v>
      </c>
      <c r="I81" s="247"/>
    </row>
    <row r="82" spans="1:90" s="245" customFormat="1" ht="63.75">
      <c r="A82" s="239">
        <v>80</v>
      </c>
      <c r="B82" s="247" t="s">
        <v>294</v>
      </c>
      <c r="C82" s="400">
        <v>40238</v>
      </c>
      <c r="D82" s="400" t="s">
        <v>295</v>
      </c>
      <c r="E82" s="401" t="s">
        <v>52</v>
      </c>
      <c r="F82" s="402" t="s">
        <v>159</v>
      </c>
      <c r="G82" s="403" t="s">
        <v>541</v>
      </c>
      <c r="H82" s="405">
        <v>21500</v>
      </c>
      <c r="I82" s="239"/>
    </row>
    <row r="83" spans="1:90" s="245" customFormat="1" ht="63.75">
      <c r="A83" s="239">
        <v>81</v>
      </c>
      <c r="B83" s="247" t="s">
        <v>339</v>
      </c>
      <c r="C83" s="247" t="s">
        <v>340</v>
      </c>
      <c r="D83" s="247" t="s">
        <v>341</v>
      </c>
      <c r="E83" s="401" t="s">
        <v>52</v>
      </c>
      <c r="F83" s="402" t="s">
        <v>161</v>
      </c>
      <c r="G83" s="403" t="s">
        <v>541</v>
      </c>
      <c r="H83" s="405">
        <v>22575</v>
      </c>
      <c r="I83" s="247"/>
    </row>
    <row r="84" spans="1:90" s="245" customFormat="1" ht="63.75">
      <c r="A84" s="239">
        <v>82</v>
      </c>
      <c r="B84" s="247" t="s">
        <v>321</v>
      </c>
      <c r="C84" s="247" t="s">
        <v>322</v>
      </c>
      <c r="D84" s="247" t="s">
        <v>323</v>
      </c>
      <c r="E84" s="401" t="s">
        <v>52</v>
      </c>
      <c r="F84" s="402" t="s">
        <v>164</v>
      </c>
      <c r="G84" s="403" t="s">
        <v>541</v>
      </c>
      <c r="H84" s="405">
        <v>22575</v>
      </c>
      <c r="I84" s="239"/>
    </row>
    <row r="85" spans="1:90" s="245" customFormat="1" ht="63.75">
      <c r="A85" s="239">
        <v>83</v>
      </c>
      <c r="B85" s="247" t="s">
        <v>321</v>
      </c>
      <c r="C85" s="247" t="s">
        <v>322</v>
      </c>
      <c r="D85" s="247" t="s">
        <v>323</v>
      </c>
      <c r="E85" s="401" t="s">
        <v>52</v>
      </c>
      <c r="F85" s="402" t="s">
        <v>165</v>
      </c>
      <c r="G85" s="403" t="s">
        <v>541</v>
      </c>
      <c r="H85" s="405">
        <v>22575</v>
      </c>
      <c r="I85" s="247"/>
    </row>
    <row r="86" spans="1:90" s="245" customFormat="1" ht="63.75">
      <c r="A86" s="239">
        <v>84</v>
      </c>
      <c r="B86" s="247" t="s">
        <v>321</v>
      </c>
      <c r="C86" s="247" t="s">
        <v>322</v>
      </c>
      <c r="D86" s="247" t="s">
        <v>323</v>
      </c>
      <c r="E86" s="401" t="s">
        <v>52</v>
      </c>
      <c r="F86" s="410">
        <v>103166</v>
      </c>
      <c r="G86" s="403" t="s">
        <v>541</v>
      </c>
      <c r="H86" s="405">
        <v>22575</v>
      </c>
      <c r="I86" s="247"/>
    </row>
    <row r="87" spans="1:90" s="245" customFormat="1" ht="63.75">
      <c r="A87" s="239">
        <v>85</v>
      </c>
      <c r="B87" s="247" t="s">
        <v>314</v>
      </c>
      <c r="C87" s="247" t="s">
        <v>315</v>
      </c>
      <c r="D87" s="247" t="s">
        <v>289</v>
      </c>
      <c r="E87" s="401" t="s">
        <v>52</v>
      </c>
      <c r="F87" s="402" t="s">
        <v>166</v>
      </c>
      <c r="G87" s="403" t="s">
        <v>541</v>
      </c>
      <c r="H87" s="405">
        <v>22575</v>
      </c>
      <c r="I87" s="247"/>
    </row>
    <row r="88" spans="1:90" s="245" customFormat="1" ht="63.75">
      <c r="A88" s="239">
        <v>86</v>
      </c>
      <c r="B88" s="414" t="s">
        <v>287</v>
      </c>
      <c r="C88" s="415" t="s">
        <v>288</v>
      </c>
      <c r="D88" s="421" t="s">
        <v>289</v>
      </c>
      <c r="E88" s="419" t="s">
        <v>52</v>
      </c>
      <c r="F88" s="414" t="s">
        <v>53</v>
      </c>
      <c r="G88" s="417" t="s">
        <v>541</v>
      </c>
      <c r="H88" s="418">
        <v>22575</v>
      </c>
      <c r="I88" s="419" t="s">
        <v>1142</v>
      </c>
    </row>
    <row r="89" spans="1:90" s="245" customFormat="1" ht="64.5" thickBot="1">
      <c r="A89" s="239">
        <v>87</v>
      </c>
      <c r="B89" s="247" t="s">
        <v>287</v>
      </c>
      <c r="C89" s="400" t="s">
        <v>288</v>
      </c>
      <c r="D89" s="247" t="s">
        <v>289</v>
      </c>
      <c r="E89" s="401" t="s">
        <v>52</v>
      </c>
      <c r="F89" s="402" t="s">
        <v>167</v>
      </c>
      <c r="G89" s="403" t="s">
        <v>541</v>
      </c>
      <c r="H89" s="405">
        <v>22575</v>
      </c>
      <c r="I89" s="247"/>
    </row>
    <row r="90" spans="1:90" s="422" customFormat="1" ht="64.5" thickBot="1">
      <c r="A90" s="239">
        <v>88</v>
      </c>
      <c r="B90" s="247" t="s">
        <v>287</v>
      </c>
      <c r="C90" s="400" t="s">
        <v>288</v>
      </c>
      <c r="D90" s="400" t="s">
        <v>289</v>
      </c>
      <c r="E90" s="401" t="s">
        <v>41</v>
      </c>
      <c r="F90" s="410">
        <v>103169</v>
      </c>
      <c r="G90" s="403" t="s">
        <v>541</v>
      </c>
      <c r="H90" s="405">
        <v>22575</v>
      </c>
      <c r="I90" s="247"/>
      <c r="J90" s="245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  <c r="AA90" s="245"/>
      <c r="AB90" s="245"/>
      <c r="AC90" s="245"/>
      <c r="AD90" s="245"/>
      <c r="AE90" s="245"/>
      <c r="AF90" s="245"/>
      <c r="AG90" s="245"/>
      <c r="AH90" s="245"/>
      <c r="AI90" s="245"/>
      <c r="AJ90" s="245"/>
      <c r="AK90" s="245"/>
      <c r="AL90" s="245"/>
      <c r="AM90" s="245"/>
      <c r="AN90" s="245"/>
      <c r="AO90" s="245"/>
      <c r="AP90" s="245"/>
      <c r="AQ90" s="245"/>
      <c r="AR90" s="245"/>
      <c r="AS90" s="245"/>
      <c r="AT90" s="245"/>
      <c r="AU90" s="245"/>
      <c r="AV90" s="245"/>
      <c r="AW90" s="245"/>
      <c r="AX90" s="245"/>
      <c r="AY90" s="245"/>
      <c r="AZ90" s="245"/>
      <c r="BA90" s="245"/>
      <c r="BB90" s="245"/>
      <c r="BC90" s="245"/>
      <c r="BD90" s="245"/>
      <c r="BE90" s="245"/>
      <c r="BF90" s="245"/>
      <c r="BG90" s="245"/>
      <c r="BH90" s="245"/>
      <c r="BI90" s="245"/>
      <c r="BJ90" s="245"/>
      <c r="BK90" s="245"/>
      <c r="BL90" s="245"/>
      <c r="BM90" s="245"/>
      <c r="BN90" s="245"/>
      <c r="BO90" s="245"/>
      <c r="BP90" s="245"/>
      <c r="BQ90" s="245"/>
      <c r="BR90" s="245"/>
      <c r="BS90" s="245"/>
      <c r="BT90" s="245"/>
      <c r="BU90" s="245"/>
      <c r="BV90" s="245"/>
      <c r="BW90" s="245"/>
      <c r="BX90" s="245"/>
      <c r="BY90" s="245"/>
      <c r="BZ90" s="245"/>
      <c r="CA90" s="245"/>
      <c r="CB90" s="245"/>
      <c r="CC90" s="245"/>
      <c r="CD90" s="245"/>
      <c r="CE90" s="245"/>
      <c r="CF90" s="245"/>
      <c r="CG90" s="245"/>
      <c r="CH90" s="245"/>
      <c r="CI90" s="245"/>
      <c r="CJ90" s="245"/>
      <c r="CK90" s="245"/>
      <c r="CL90" s="245"/>
    </row>
    <row r="91" spans="1:90" ht="63.75">
      <c r="A91" s="239">
        <v>89</v>
      </c>
      <c r="B91" s="247" t="s">
        <v>316</v>
      </c>
      <c r="C91" s="400">
        <v>40634</v>
      </c>
      <c r="D91" s="247" t="s">
        <v>317</v>
      </c>
      <c r="E91" s="401" t="s">
        <v>39</v>
      </c>
      <c r="F91" s="402" t="s">
        <v>40</v>
      </c>
      <c r="G91" s="403" t="s">
        <v>547</v>
      </c>
      <c r="H91" s="405">
        <v>24675</v>
      </c>
      <c r="I91" s="247"/>
      <c r="J91" s="245"/>
      <c r="K91" s="245"/>
      <c r="L91" s="245"/>
    </row>
    <row r="92" spans="1:90" s="245" customFormat="1" ht="63.75">
      <c r="A92" s="239">
        <v>90</v>
      </c>
      <c r="B92" s="247" t="s">
        <v>292</v>
      </c>
      <c r="C92" s="400">
        <v>40791</v>
      </c>
      <c r="D92" s="247" t="s">
        <v>293</v>
      </c>
      <c r="E92" s="401" t="s">
        <v>39</v>
      </c>
      <c r="F92" s="402" t="s">
        <v>47</v>
      </c>
      <c r="G92" s="403" t="s">
        <v>547</v>
      </c>
      <c r="H92" s="405">
        <v>26250</v>
      </c>
      <c r="I92" s="247"/>
    </row>
    <row r="93" spans="1:90" s="245" customFormat="1" ht="63.75">
      <c r="A93" s="239">
        <v>91</v>
      </c>
      <c r="B93" s="247" t="s">
        <v>328</v>
      </c>
      <c r="C93" s="400">
        <v>40836</v>
      </c>
      <c r="D93" s="247" t="s">
        <v>329</v>
      </c>
      <c r="E93" s="401" t="s">
        <v>39</v>
      </c>
      <c r="F93" s="402" t="s">
        <v>50</v>
      </c>
      <c r="G93" s="403" t="s">
        <v>547</v>
      </c>
      <c r="H93" s="405">
        <v>26250</v>
      </c>
      <c r="I93" s="247"/>
    </row>
    <row r="94" spans="1:90" s="245" customFormat="1" ht="63.75">
      <c r="A94" s="239">
        <v>92</v>
      </c>
      <c r="B94" s="247" t="s">
        <v>324</v>
      </c>
      <c r="C94" s="400">
        <v>40899</v>
      </c>
      <c r="D94" s="247" t="s">
        <v>325</v>
      </c>
      <c r="E94" s="401" t="s">
        <v>39</v>
      </c>
      <c r="F94" s="402" t="s">
        <v>51</v>
      </c>
      <c r="G94" s="403" t="s">
        <v>547</v>
      </c>
      <c r="H94" s="405">
        <v>26250</v>
      </c>
      <c r="I94" s="247"/>
    </row>
    <row r="95" spans="1:90" s="245" customFormat="1" ht="63.75">
      <c r="A95" s="239">
        <v>93</v>
      </c>
      <c r="B95" s="247" t="s">
        <v>330</v>
      </c>
      <c r="C95" s="400">
        <v>40939</v>
      </c>
      <c r="D95" s="247" t="s">
        <v>331</v>
      </c>
      <c r="E95" s="401" t="s">
        <v>39</v>
      </c>
      <c r="F95" s="410" t="s">
        <v>54</v>
      </c>
      <c r="G95" s="403" t="s">
        <v>547</v>
      </c>
      <c r="H95" s="405">
        <v>26250</v>
      </c>
      <c r="I95" s="247"/>
    </row>
    <row r="96" spans="1:90" s="245" customFormat="1" ht="63.75">
      <c r="A96" s="239">
        <v>94</v>
      </c>
      <c r="B96" s="247" t="s">
        <v>330</v>
      </c>
      <c r="C96" s="400">
        <v>40939</v>
      </c>
      <c r="D96" s="247" t="s">
        <v>331</v>
      </c>
      <c r="E96" s="401" t="s">
        <v>39</v>
      </c>
      <c r="F96" s="402" t="s">
        <v>63</v>
      </c>
      <c r="G96" s="403" t="s">
        <v>547</v>
      </c>
      <c r="H96" s="405">
        <v>26250</v>
      </c>
      <c r="I96" s="247"/>
    </row>
    <row r="97" spans="1:90" s="245" customFormat="1" ht="63.75">
      <c r="A97" s="239">
        <v>95</v>
      </c>
      <c r="B97" s="247" t="s">
        <v>290</v>
      </c>
      <c r="C97" s="400">
        <v>41093</v>
      </c>
      <c r="D97" s="247" t="s">
        <v>291</v>
      </c>
      <c r="E97" s="401" t="s">
        <v>39</v>
      </c>
      <c r="F97" s="402" t="s">
        <v>64</v>
      </c>
      <c r="G97" s="403" t="s">
        <v>547</v>
      </c>
      <c r="H97" s="405">
        <v>26250</v>
      </c>
      <c r="I97" s="247"/>
    </row>
    <row r="98" spans="1:90" s="245" customFormat="1" ht="63.75">
      <c r="A98" s="239">
        <v>96</v>
      </c>
      <c r="B98" s="247" t="s">
        <v>290</v>
      </c>
      <c r="C98" s="400">
        <v>41093</v>
      </c>
      <c r="D98" s="247" t="s">
        <v>291</v>
      </c>
      <c r="E98" s="401" t="s">
        <v>39</v>
      </c>
      <c r="F98" s="402" t="s">
        <v>86</v>
      </c>
      <c r="G98" s="403" t="s">
        <v>547</v>
      </c>
      <c r="H98" s="423">
        <v>26250</v>
      </c>
      <c r="I98" s="239"/>
    </row>
    <row r="99" spans="1:90" s="245" customFormat="1" ht="63.75">
      <c r="A99" s="239">
        <v>97</v>
      </c>
      <c r="B99" s="247" t="s">
        <v>326</v>
      </c>
      <c r="C99" s="400">
        <v>41176</v>
      </c>
      <c r="D99" s="247" t="s">
        <v>327</v>
      </c>
      <c r="E99" s="401" t="s">
        <v>39</v>
      </c>
      <c r="F99" s="410" t="s">
        <v>101</v>
      </c>
      <c r="G99" s="403" t="s">
        <v>547</v>
      </c>
      <c r="H99" s="405">
        <v>26250</v>
      </c>
      <c r="I99" s="247"/>
    </row>
    <row r="100" spans="1:90" s="245" customFormat="1" ht="63.75">
      <c r="A100" s="239">
        <v>98</v>
      </c>
      <c r="B100" s="247" t="s">
        <v>326</v>
      </c>
      <c r="C100" s="400">
        <v>41176</v>
      </c>
      <c r="D100" s="247" t="s">
        <v>327</v>
      </c>
      <c r="E100" s="401" t="s">
        <v>39</v>
      </c>
      <c r="F100" s="402" t="s">
        <v>102</v>
      </c>
      <c r="G100" s="403" t="s">
        <v>547</v>
      </c>
      <c r="H100" s="405">
        <v>26250</v>
      </c>
      <c r="I100" s="247"/>
    </row>
    <row r="101" spans="1:90" s="245" customFormat="1" ht="63.75">
      <c r="A101" s="239">
        <v>99</v>
      </c>
      <c r="B101" s="247" t="s">
        <v>307</v>
      </c>
      <c r="C101" s="400">
        <v>41277</v>
      </c>
      <c r="D101" s="247" t="s">
        <v>308</v>
      </c>
      <c r="E101" s="401" t="s">
        <v>39</v>
      </c>
      <c r="F101" s="402" t="s">
        <v>103</v>
      </c>
      <c r="G101" s="403" t="s">
        <v>547</v>
      </c>
      <c r="H101" s="405">
        <v>26250</v>
      </c>
      <c r="I101" s="247"/>
    </row>
    <row r="102" spans="1:90" s="245" customFormat="1" ht="63.75">
      <c r="A102" s="239">
        <v>100</v>
      </c>
      <c r="B102" s="247" t="s">
        <v>307</v>
      </c>
      <c r="C102" s="400">
        <v>41277</v>
      </c>
      <c r="D102" s="247" t="s">
        <v>308</v>
      </c>
      <c r="E102" s="401" t="s">
        <v>39</v>
      </c>
      <c r="F102" s="402" t="s">
        <v>104</v>
      </c>
      <c r="G102" s="403" t="s">
        <v>547</v>
      </c>
      <c r="H102" s="405">
        <v>26250</v>
      </c>
      <c r="I102" s="247"/>
    </row>
    <row r="103" spans="1:90" s="245" customFormat="1" ht="64.5" thickBot="1">
      <c r="A103" s="239">
        <v>101</v>
      </c>
      <c r="B103" s="247" t="s">
        <v>307</v>
      </c>
      <c r="C103" s="400">
        <v>41277</v>
      </c>
      <c r="D103" s="247" t="s">
        <v>308</v>
      </c>
      <c r="E103" s="401" t="s">
        <v>39</v>
      </c>
      <c r="F103" s="402" t="s">
        <v>105</v>
      </c>
      <c r="G103" s="403" t="s">
        <v>547</v>
      </c>
      <c r="H103" s="405">
        <v>26250</v>
      </c>
      <c r="I103" s="247"/>
    </row>
    <row r="104" spans="1:90" s="422" customFormat="1" ht="64.5" thickBot="1">
      <c r="A104" s="239">
        <v>102</v>
      </c>
      <c r="B104" s="247" t="s">
        <v>542</v>
      </c>
      <c r="C104" s="400">
        <v>43465</v>
      </c>
      <c r="D104" s="247" t="s">
        <v>543</v>
      </c>
      <c r="E104" s="401" t="s">
        <v>518</v>
      </c>
      <c r="F104" s="402" t="s">
        <v>519</v>
      </c>
      <c r="G104" s="403" t="s">
        <v>544</v>
      </c>
      <c r="H104" s="405">
        <v>24100</v>
      </c>
      <c r="I104" s="239"/>
      <c r="J104" s="245"/>
      <c r="K104" s="245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  <c r="AA104" s="245"/>
      <c r="AB104" s="245"/>
      <c r="AC104" s="245"/>
      <c r="AD104" s="245"/>
      <c r="AE104" s="245"/>
      <c r="AF104" s="245"/>
      <c r="AG104" s="245"/>
      <c r="AH104" s="245"/>
      <c r="AI104" s="245"/>
      <c r="AJ104" s="245"/>
      <c r="AK104" s="245"/>
      <c r="AL104" s="245"/>
      <c r="AM104" s="245"/>
      <c r="AN104" s="245"/>
      <c r="AO104" s="245"/>
      <c r="AP104" s="245"/>
      <c r="AQ104" s="245"/>
      <c r="AR104" s="245"/>
      <c r="AS104" s="245"/>
      <c r="AT104" s="245"/>
      <c r="AU104" s="245"/>
      <c r="AV104" s="245"/>
      <c r="AW104" s="245"/>
      <c r="AX104" s="245"/>
      <c r="AY104" s="245"/>
      <c r="AZ104" s="245"/>
      <c r="BA104" s="245"/>
      <c r="BB104" s="245"/>
      <c r="BC104" s="245"/>
      <c r="BD104" s="245"/>
      <c r="BE104" s="245"/>
      <c r="BF104" s="245"/>
      <c r="BG104" s="245"/>
      <c r="BH104" s="245"/>
      <c r="BI104" s="245"/>
      <c r="BJ104" s="245"/>
      <c r="BK104" s="245"/>
      <c r="BL104" s="245"/>
      <c r="BM104" s="245"/>
      <c r="BN104" s="245"/>
      <c r="BO104" s="245"/>
      <c r="BP104" s="245"/>
      <c r="BQ104" s="245"/>
      <c r="BR104" s="245"/>
      <c r="BS104" s="245"/>
      <c r="BT104" s="245"/>
      <c r="BU104" s="245"/>
      <c r="BV104" s="245"/>
      <c r="BW104" s="245"/>
      <c r="BX104" s="245"/>
      <c r="BY104" s="245"/>
      <c r="BZ104" s="245"/>
      <c r="CA104" s="245"/>
      <c r="CB104" s="245"/>
      <c r="CC104" s="245"/>
      <c r="CD104" s="245"/>
      <c r="CE104" s="245"/>
      <c r="CF104" s="245"/>
      <c r="CG104" s="245"/>
      <c r="CH104" s="245"/>
      <c r="CI104" s="245"/>
      <c r="CJ104" s="245"/>
      <c r="CK104" s="245"/>
      <c r="CL104" s="245"/>
    </row>
    <row r="105" spans="1:90" s="422" customFormat="1" ht="64.5" thickBot="1">
      <c r="A105" s="239">
        <v>103</v>
      </c>
      <c r="B105" s="247" t="s">
        <v>542</v>
      </c>
      <c r="C105" s="400">
        <v>43465</v>
      </c>
      <c r="D105" s="247" t="s">
        <v>543</v>
      </c>
      <c r="E105" s="401" t="s">
        <v>518</v>
      </c>
      <c r="F105" s="410" t="s">
        <v>520</v>
      </c>
      <c r="G105" s="403" t="s">
        <v>544</v>
      </c>
      <c r="H105" s="405">
        <v>24100</v>
      </c>
      <c r="I105" s="239"/>
      <c r="J105" s="245"/>
      <c r="K105" s="245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  <c r="AA105" s="245"/>
      <c r="AB105" s="245"/>
      <c r="AC105" s="245"/>
      <c r="AD105" s="245"/>
      <c r="AE105" s="245"/>
      <c r="AF105" s="245"/>
      <c r="AG105" s="245"/>
      <c r="AH105" s="245"/>
      <c r="AI105" s="245"/>
      <c r="AJ105" s="245"/>
      <c r="AK105" s="245"/>
      <c r="AL105" s="245"/>
      <c r="AM105" s="245"/>
      <c r="AN105" s="245"/>
      <c r="AO105" s="245"/>
      <c r="AP105" s="245"/>
      <c r="AQ105" s="245"/>
      <c r="AR105" s="245"/>
      <c r="AS105" s="245"/>
      <c r="AT105" s="245"/>
      <c r="AU105" s="245"/>
      <c r="AV105" s="245"/>
      <c r="AW105" s="245"/>
      <c r="AX105" s="245"/>
      <c r="AY105" s="245"/>
      <c r="AZ105" s="245"/>
      <c r="BA105" s="245"/>
      <c r="BB105" s="245"/>
      <c r="BC105" s="245"/>
      <c r="BD105" s="245"/>
      <c r="BE105" s="245"/>
      <c r="BF105" s="245"/>
      <c r="BG105" s="245"/>
      <c r="BH105" s="245"/>
      <c r="BI105" s="245"/>
      <c r="BJ105" s="245"/>
      <c r="BK105" s="245"/>
      <c r="BL105" s="245"/>
      <c r="BM105" s="245"/>
      <c r="BN105" s="245"/>
      <c r="BO105" s="245"/>
      <c r="BP105" s="245"/>
      <c r="BQ105" s="245"/>
      <c r="BR105" s="245"/>
      <c r="BS105" s="245"/>
      <c r="BT105" s="245"/>
      <c r="BU105" s="245"/>
      <c r="BV105" s="245"/>
      <c r="BW105" s="245"/>
      <c r="BX105" s="245"/>
      <c r="BY105" s="245"/>
      <c r="BZ105" s="245"/>
      <c r="CA105" s="245"/>
      <c r="CB105" s="245"/>
      <c r="CC105" s="245"/>
      <c r="CD105" s="245"/>
      <c r="CE105" s="245"/>
      <c r="CF105" s="245"/>
      <c r="CG105" s="245"/>
      <c r="CH105" s="245"/>
      <c r="CI105" s="245"/>
      <c r="CJ105" s="245"/>
      <c r="CK105" s="245"/>
      <c r="CL105" s="245"/>
    </row>
    <row r="106" spans="1:90" s="422" customFormat="1" ht="64.5" thickBot="1">
      <c r="A106" s="239">
        <v>104</v>
      </c>
      <c r="B106" s="247" t="s">
        <v>542</v>
      </c>
      <c r="C106" s="400">
        <v>43465</v>
      </c>
      <c r="D106" s="247" t="s">
        <v>543</v>
      </c>
      <c r="E106" s="401" t="s">
        <v>518</v>
      </c>
      <c r="F106" s="410" t="s">
        <v>521</v>
      </c>
      <c r="G106" s="403" t="s">
        <v>544</v>
      </c>
      <c r="H106" s="405">
        <v>24100</v>
      </c>
      <c r="I106" s="239"/>
      <c r="J106" s="245"/>
      <c r="K106" s="245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  <c r="AA106" s="245"/>
      <c r="AB106" s="245"/>
      <c r="AC106" s="245"/>
      <c r="AD106" s="245"/>
      <c r="AE106" s="245"/>
      <c r="AF106" s="245"/>
      <c r="AG106" s="245"/>
      <c r="AH106" s="245"/>
      <c r="AI106" s="245"/>
      <c r="AJ106" s="245"/>
      <c r="AK106" s="245"/>
      <c r="AL106" s="245"/>
      <c r="AM106" s="245"/>
      <c r="AN106" s="245"/>
      <c r="AO106" s="245"/>
      <c r="AP106" s="245"/>
      <c r="AQ106" s="245"/>
      <c r="AR106" s="245"/>
      <c r="AS106" s="245"/>
      <c r="AT106" s="245"/>
      <c r="AU106" s="245"/>
      <c r="AV106" s="245"/>
      <c r="AW106" s="245"/>
      <c r="AX106" s="245"/>
      <c r="AY106" s="245"/>
      <c r="AZ106" s="245"/>
      <c r="BA106" s="245"/>
      <c r="BB106" s="245"/>
      <c r="BC106" s="245"/>
      <c r="BD106" s="245"/>
      <c r="BE106" s="245"/>
      <c r="BF106" s="245"/>
      <c r="BG106" s="245"/>
      <c r="BH106" s="245"/>
      <c r="BI106" s="245"/>
      <c r="BJ106" s="245"/>
      <c r="BK106" s="245"/>
      <c r="BL106" s="245"/>
      <c r="BM106" s="245"/>
      <c r="BN106" s="245"/>
      <c r="BO106" s="245"/>
      <c r="BP106" s="245"/>
      <c r="BQ106" s="245"/>
      <c r="BR106" s="245"/>
      <c r="BS106" s="245"/>
      <c r="BT106" s="245"/>
      <c r="BU106" s="245"/>
      <c r="BV106" s="245"/>
      <c r="BW106" s="245"/>
      <c r="BX106" s="245"/>
      <c r="BY106" s="245"/>
      <c r="BZ106" s="245"/>
      <c r="CA106" s="245"/>
      <c r="CB106" s="245"/>
      <c r="CC106" s="245"/>
      <c r="CD106" s="245"/>
      <c r="CE106" s="245"/>
      <c r="CF106" s="245"/>
      <c r="CG106" s="245"/>
      <c r="CH106" s="245"/>
      <c r="CI106" s="245"/>
      <c r="CJ106" s="245"/>
      <c r="CK106" s="245"/>
      <c r="CL106" s="245"/>
    </row>
    <row r="107" spans="1:90" s="245" customFormat="1" ht="63.75">
      <c r="A107" s="239">
        <v>105</v>
      </c>
      <c r="B107" s="247" t="s">
        <v>542</v>
      </c>
      <c r="C107" s="400">
        <v>43465</v>
      </c>
      <c r="D107" s="247" t="s">
        <v>543</v>
      </c>
      <c r="E107" s="401" t="s">
        <v>518</v>
      </c>
      <c r="F107" s="402" t="s">
        <v>522</v>
      </c>
      <c r="G107" s="403" t="s">
        <v>544</v>
      </c>
      <c r="H107" s="405">
        <v>24100</v>
      </c>
      <c r="I107" s="239"/>
    </row>
    <row r="108" spans="1:90" s="420" customFormat="1" ht="64.5" thickBot="1">
      <c r="A108" s="239">
        <v>106</v>
      </c>
      <c r="B108" s="247" t="s">
        <v>542</v>
      </c>
      <c r="C108" s="400">
        <v>43465</v>
      </c>
      <c r="D108" s="247" t="s">
        <v>543</v>
      </c>
      <c r="E108" s="401" t="s">
        <v>518</v>
      </c>
      <c r="F108" s="402" t="s">
        <v>523</v>
      </c>
      <c r="G108" s="403" t="s">
        <v>544</v>
      </c>
      <c r="H108" s="405">
        <v>24100</v>
      </c>
      <c r="I108" s="239"/>
      <c r="J108" s="245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  <c r="AA108" s="245"/>
      <c r="AB108" s="245"/>
      <c r="AC108" s="245"/>
      <c r="AD108" s="245"/>
      <c r="AE108" s="245"/>
      <c r="AF108" s="245"/>
      <c r="AG108" s="245"/>
      <c r="AH108" s="245"/>
      <c r="AI108" s="245"/>
      <c r="AJ108" s="245"/>
      <c r="AK108" s="245"/>
      <c r="AL108" s="245"/>
      <c r="AM108" s="245"/>
      <c r="AN108" s="245"/>
      <c r="AO108" s="245"/>
      <c r="AP108" s="245"/>
      <c r="AQ108" s="245"/>
      <c r="AR108" s="245"/>
      <c r="AS108" s="245"/>
      <c r="AT108" s="245"/>
      <c r="AU108" s="245"/>
      <c r="AV108" s="245"/>
      <c r="AW108" s="245"/>
      <c r="AX108" s="245"/>
      <c r="AY108" s="245"/>
      <c r="AZ108" s="245"/>
      <c r="BA108" s="245"/>
      <c r="BB108" s="245"/>
      <c r="BC108" s="245"/>
      <c r="BD108" s="245"/>
      <c r="BE108" s="245"/>
      <c r="BF108" s="245"/>
      <c r="BG108" s="245"/>
      <c r="BH108" s="245"/>
      <c r="BI108" s="245"/>
      <c r="BJ108" s="245"/>
      <c r="BK108" s="245"/>
      <c r="BL108" s="245"/>
      <c r="BM108" s="245"/>
      <c r="BN108" s="245"/>
      <c r="BO108" s="245"/>
      <c r="BP108" s="245"/>
      <c r="BQ108" s="245"/>
      <c r="BR108" s="245"/>
      <c r="BS108" s="245"/>
      <c r="BT108" s="245"/>
      <c r="BU108" s="245"/>
      <c r="BV108" s="245"/>
      <c r="BW108" s="245"/>
      <c r="BX108" s="245"/>
      <c r="BY108" s="245"/>
      <c r="BZ108" s="245"/>
      <c r="CA108" s="245"/>
      <c r="CB108" s="245"/>
      <c r="CC108" s="245"/>
      <c r="CD108" s="245"/>
      <c r="CE108" s="245"/>
      <c r="CF108" s="245"/>
      <c r="CG108" s="245"/>
      <c r="CH108" s="245"/>
      <c r="CI108" s="245"/>
      <c r="CJ108" s="245"/>
      <c r="CK108" s="245"/>
      <c r="CL108" s="245"/>
    </row>
    <row r="109" spans="1:90" s="245" customFormat="1" ht="63.75">
      <c r="A109" s="239">
        <v>107</v>
      </c>
      <c r="B109" s="247" t="s">
        <v>542</v>
      </c>
      <c r="C109" s="400">
        <v>43465</v>
      </c>
      <c r="D109" s="247" t="s">
        <v>543</v>
      </c>
      <c r="E109" s="401" t="s">
        <v>518</v>
      </c>
      <c r="F109" s="410" t="s">
        <v>524</v>
      </c>
      <c r="G109" s="403" t="s">
        <v>544</v>
      </c>
      <c r="H109" s="405">
        <v>24100</v>
      </c>
      <c r="I109" s="239"/>
    </row>
    <row r="110" spans="1:90" s="420" customFormat="1" ht="64.5" thickBot="1">
      <c r="A110" s="239">
        <v>108</v>
      </c>
      <c r="B110" s="247" t="s">
        <v>542</v>
      </c>
      <c r="C110" s="400">
        <v>43465</v>
      </c>
      <c r="D110" s="247" t="s">
        <v>543</v>
      </c>
      <c r="E110" s="401" t="s">
        <v>518</v>
      </c>
      <c r="F110" s="402" t="s">
        <v>525</v>
      </c>
      <c r="G110" s="403" t="s">
        <v>544</v>
      </c>
      <c r="H110" s="405">
        <v>24100</v>
      </c>
      <c r="I110" s="239"/>
      <c r="J110" s="245"/>
      <c r="K110" s="245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  <c r="AA110" s="245"/>
      <c r="AB110" s="245"/>
      <c r="AC110" s="245"/>
      <c r="AD110" s="245"/>
      <c r="AE110" s="245"/>
      <c r="AF110" s="245"/>
      <c r="AG110" s="245"/>
      <c r="AH110" s="245"/>
      <c r="AI110" s="245"/>
      <c r="AJ110" s="245"/>
      <c r="AK110" s="245"/>
      <c r="AL110" s="245"/>
      <c r="AM110" s="245"/>
      <c r="AN110" s="245"/>
      <c r="AO110" s="245"/>
      <c r="AP110" s="245"/>
      <c r="AQ110" s="245"/>
      <c r="AR110" s="245"/>
      <c r="AS110" s="245"/>
      <c r="AT110" s="245"/>
      <c r="AU110" s="245"/>
      <c r="AV110" s="245"/>
      <c r="AW110" s="245"/>
      <c r="AX110" s="245"/>
      <c r="AY110" s="245"/>
      <c r="AZ110" s="245"/>
      <c r="BA110" s="245"/>
      <c r="BB110" s="245"/>
      <c r="BC110" s="245"/>
      <c r="BD110" s="245"/>
      <c r="BE110" s="245"/>
      <c r="BF110" s="245"/>
      <c r="BG110" s="245"/>
      <c r="BH110" s="245"/>
      <c r="BI110" s="245"/>
      <c r="BJ110" s="245"/>
      <c r="BK110" s="245"/>
      <c r="BL110" s="245"/>
      <c r="BM110" s="245"/>
      <c r="BN110" s="245"/>
      <c r="BO110" s="245"/>
      <c r="BP110" s="245"/>
      <c r="BQ110" s="245"/>
      <c r="BR110" s="245"/>
      <c r="BS110" s="245"/>
      <c r="BT110" s="245"/>
      <c r="BU110" s="245"/>
      <c r="BV110" s="245"/>
      <c r="BW110" s="245"/>
      <c r="BX110" s="245"/>
      <c r="BY110" s="245"/>
      <c r="BZ110" s="245"/>
      <c r="CA110" s="245"/>
      <c r="CB110" s="245"/>
      <c r="CC110" s="245"/>
      <c r="CD110" s="245"/>
      <c r="CE110" s="245"/>
      <c r="CF110" s="245"/>
      <c r="CG110" s="245"/>
      <c r="CH110" s="245"/>
      <c r="CI110" s="245"/>
      <c r="CJ110" s="245"/>
      <c r="CK110" s="245"/>
      <c r="CL110" s="245"/>
    </row>
    <row r="111" spans="1:90" s="424" customFormat="1" ht="63.75">
      <c r="A111" s="239">
        <v>109</v>
      </c>
      <c r="B111" s="247" t="s">
        <v>542</v>
      </c>
      <c r="C111" s="400">
        <v>43465</v>
      </c>
      <c r="D111" s="247" t="s">
        <v>543</v>
      </c>
      <c r="E111" s="401" t="s">
        <v>518</v>
      </c>
      <c r="F111" s="402" t="s">
        <v>526</v>
      </c>
      <c r="G111" s="403" t="s">
        <v>544</v>
      </c>
      <c r="H111" s="405">
        <v>24100</v>
      </c>
      <c r="I111" s="239"/>
      <c r="J111" s="245"/>
      <c r="K111" s="245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  <c r="AA111" s="245"/>
      <c r="AB111" s="245"/>
      <c r="AC111" s="245"/>
      <c r="AD111" s="245"/>
      <c r="AE111" s="245"/>
      <c r="AF111" s="245"/>
      <c r="AG111" s="245"/>
      <c r="AH111" s="245"/>
      <c r="AI111" s="245"/>
      <c r="AJ111" s="245"/>
      <c r="AK111" s="245"/>
      <c r="AL111" s="245"/>
      <c r="AM111" s="245"/>
      <c r="AN111" s="245"/>
      <c r="AO111" s="245"/>
      <c r="AP111" s="245"/>
      <c r="AQ111" s="245"/>
      <c r="AR111" s="245"/>
      <c r="AS111" s="245"/>
      <c r="AT111" s="245"/>
      <c r="AU111" s="245"/>
      <c r="AV111" s="245"/>
      <c r="AW111" s="245"/>
      <c r="AX111" s="245"/>
      <c r="AY111" s="245"/>
      <c r="AZ111" s="245"/>
      <c r="BA111" s="245"/>
      <c r="BB111" s="245"/>
      <c r="BC111" s="245"/>
      <c r="BD111" s="245"/>
      <c r="BE111" s="245"/>
      <c r="BF111" s="245"/>
      <c r="BG111" s="245"/>
      <c r="BH111" s="245"/>
      <c r="BI111" s="245"/>
      <c r="BJ111" s="245"/>
      <c r="BK111" s="245"/>
      <c r="BL111" s="245"/>
      <c r="BM111" s="245"/>
      <c r="BN111" s="245"/>
      <c r="BO111" s="245"/>
      <c r="BP111" s="245"/>
      <c r="BQ111" s="245"/>
      <c r="BR111" s="245"/>
      <c r="BS111" s="245"/>
      <c r="BT111" s="245"/>
      <c r="BU111" s="245"/>
      <c r="BV111" s="245"/>
      <c r="BW111" s="245"/>
      <c r="BX111" s="245"/>
      <c r="BY111" s="245"/>
      <c r="BZ111" s="245"/>
      <c r="CA111" s="245"/>
      <c r="CB111" s="245"/>
      <c r="CC111" s="245"/>
      <c r="CD111" s="245"/>
      <c r="CE111" s="245"/>
      <c r="CF111" s="245"/>
      <c r="CG111" s="245"/>
      <c r="CH111" s="245"/>
      <c r="CI111" s="245"/>
      <c r="CJ111" s="245"/>
      <c r="CK111" s="245"/>
      <c r="CL111" s="245"/>
    </row>
    <row r="112" spans="1:90" s="420" customFormat="1" ht="64.5" thickBot="1">
      <c r="A112" s="239">
        <v>110</v>
      </c>
      <c r="B112" s="247" t="s">
        <v>542</v>
      </c>
      <c r="C112" s="400">
        <v>43465</v>
      </c>
      <c r="D112" s="247" t="s">
        <v>543</v>
      </c>
      <c r="E112" s="401" t="s">
        <v>518</v>
      </c>
      <c r="F112" s="410" t="s">
        <v>527</v>
      </c>
      <c r="G112" s="403" t="s">
        <v>544</v>
      </c>
      <c r="H112" s="405">
        <v>24100</v>
      </c>
      <c r="I112" s="239"/>
      <c r="J112" s="245"/>
      <c r="K112" s="245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  <c r="AA112" s="245"/>
      <c r="AB112" s="245"/>
      <c r="AC112" s="245"/>
      <c r="AD112" s="245"/>
      <c r="AE112" s="245"/>
      <c r="AF112" s="245"/>
      <c r="AG112" s="245"/>
      <c r="AH112" s="245"/>
      <c r="AI112" s="245"/>
      <c r="AJ112" s="245"/>
      <c r="AK112" s="245"/>
      <c r="AL112" s="245"/>
      <c r="AM112" s="245"/>
      <c r="AN112" s="245"/>
      <c r="AO112" s="245"/>
      <c r="AP112" s="245"/>
      <c r="AQ112" s="245"/>
      <c r="AR112" s="245"/>
      <c r="AS112" s="245"/>
      <c r="AT112" s="245"/>
      <c r="AU112" s="245"/>
      <c r="AV112" s="245"/>
      <c r="AW112" s="245"/>
      <c r="AX112" s="245"/>
      <c r="AY112" s="245"/>
      <c r="AZ112" s="245"/>
      <c r="BA112" s="245"/>
      <c r="BB112" s="245"/>
      <c r="BC112" s="245"/>
      <c r="BD112" s="245"/>
      <c r="BE112" s="245"/>
      <c r="BF112" s="245"/>
      <c r="BG112" s="245"/>
      <c r="BH112" s="245"/>
      <c r="BI112" s="245"/>
      <c r="BJ112" s="245"/>
      <c r="BK112" s="245"/>
      <c r="BL112" s="245"/>
      <c r="BM112" s="245"/>
      <c r="BN112" s="245"/>
      <c r="BO112" s="245"/>
      <c r="BP112" s="245"/>
      <c r="BQ112" s="245"/>
      <c r="BR112" s="245"/>
      <c r="BS112" s="245"/>
      <c r="BT112" s="245"/>
      <c r="BU112" s="245"/>
      <c r="BV112" s="245"/>
      <c r="BW112" s="245"/>
      <c r="BX112" s="245"/>
      <c r="BY112" s="245"/>
      <c r="BZ112" s="245"/>
      <c r="CA112" s="245"/>
      <c r="CB112" s="245"/>
      <c r="CC112" s="245"/>
      <c r="CD112" s="245"/>
      <c r="CE112" s="245"/>
      <c r="CF112" s="245"/>
      <c r="CG112" s="245"/>
      <c r="CH112" s="245"/>
      <c r="CI112" s="245"/>
      <c r="CJ112" s="245"/>
      <c r="CK112" s="245"/>
      <c r="CL112" s="245"/>
    </row>
    <row r="113" spans="1:90" s="245" customFormat="1" ht="63.75">
      <c r="A113" s="239">
        <v>111</v>
      </c>
      <c r="B113" s="247" t="s">
        <v>542</v>
      </c>
      <c r="C113" s="400">
        <v>43465</v>
      </c>
      <c r="D113" s="247" t="s">
        <v>543</v>
      </c>
      <c r="E113" s="401" t="s">
        <v>518</v>
      </c>
      <c r="F113" s="410" t="s">
        <v>528</v>
      </c>
      <c r="G113" s="403" t="s">
        <v>544</v>
      </c>
      <c r="H113" s="405">
        <v>24100</v>
      </c>
      <c r="I113" s="239"/>
    </row>
    <row r="114" spans="1:90" s="245" customFormat="1" ht="63.75">
      <c r="A114" s="239">
        <v>112</v>
      </c>
      <c r="B114" s="247" t="s">
        <v>542</v>
      </c>
      <c r="C114" s="400">
        <v>43465</v>
      </c>
      <c r="D114" s="247" t="s">
        <v>543</v>
      </c>
      <c r="E114" s="401" t="s">
        <v>518</v>
      </c>
      <c r="F114" s="410" t="s">
        <v>538</v>
      </c>
      <c r="G114" s="403" t="s">
        <v>544</v>
      </c>
      <c r="H114" s="405">
        <v>24100</v>
      </c>
      <c r="I114" s="239"/>
    </row>
    <row r="115" spans="1:90" s="245" customFormat="1" ht="63.75">
      <c r="A115" s="239">
        <v>113</v>
      </c>
      <c r="B115" s="247" t="s">
        <v>542</v>
      </c>
      <c r="C115" s="400">
        <v>43465</v>
      </c>
      <c r="D115" s="247" t="s">
        <v>543</v>
      </c>
      <c r="E115" s="401" t="s">
        <v>518</v>
      </c>
      <c r="F115" s="410" t="s">
        <v>529</v>
      </c>
      <c r="G115" s="403" t="s">
        <v>544</v>
      </c>
      <c r="H115" s="405">
        <v>24100</v>
      </c>
      <c r="I115" s="239"/>
    </row>
    <row r="116" spans="1:90" s="420" customFormat="1" ht="64.5" thickBot="1">
      <c r="A116" s="239">
        <v>114</v>
      </c>
      <c r="B116" s="247" t="s">
        <v>542</v>
      </c>
      <c r="C116" s="400">
        <v>43465</v>
      </c>
      <c r="D116" s="247" t="s">
        <v>543</v>
      </c>
      <c r="E116" s="401" t="s">
        <v>518</v>
      </c>
      <c r="F116" s="410" t="s">
        <v>530</v>
      </c>
      <c r="G116" s="403" t="s">
        <v>544</v>
      </c>
      <c r="H116" s="405">
        <v>24100</v>
      </c>
      <c r="I116" s="239"/>
      <c r="J116" s="245"/>
      <c r="K116" s="245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  <c r="AA116" s="245"/>
      <c r="AB116" s="245"/>
      <c r="AC116" s="245"/>
      <c r="AD116" s="245"/>
      <c r="AE116" s="245"/>
      <c r="AF116" s="245"/>
      <c r="AG116" s="245"/>
      <c r="AH116" s="245"/>
      <c r="AI116" s="245"/>
      <c r="AJ116" s="245"/>
      <c r="AK116" s="245"/>
      <c r="AL116" s="245"/>
      <c r="AM116" s="245"/>
      <c r="AN116" s="245"/>
      <c r="AO116" s="245"/>
      <c r="AP116" s="245"/>
      <c r="AQ116" s="245"/>
      <c r="AR116" s="245"/>
      <c r="AS116" s="245"/>
      <c r="AT116" s="245"/>
      <c r="AU116" s="245"/>
      <c r="AV116" s="245"/>
      <c r="AW116" s="245"/>
      <c r="AX116" s="245"/>
      <c r="AY116" s="245"/>
      <c r="AZ116" s="245"/>
      <c r="BA116" s="245"/>
      <c r="BB116" s="245"/>
      <c r="BC116" s="245"/>
      <c r="BD116" s="245"/>
      <c r="BE116" s="245"/>
      <c r="BF116" s="245"/>
      <c r="BG116" s="245"/>
      <c r="BH116" s="245"/>
      <c r="BI116" s="245"/>
      <c r="BJ116" s="245"/>
      <c r="BK116" s="245"/>
      <c r="BL116" s="245"/>
      <c r="BM116" s="245"/>
      <c r="BN116" s="245"/>
      <c r="BO116" s="245"/>
      <c r="BP116" s="245"/>
      <c r="BQ116" s="245"/>
      <c r="BR116" s="245"/>
      <c r="BS116" s="245"/>
      <c r="BT116" s="245"/>
      <c r="BU116" s="245"/>
      <c r="BV116" s="245"/>
      <c r="BW116" s="245"/>
      <c r="BX116" s="245"/>
      <c r="BY116" s="245"/>
      <c r="BZ116" s="245"/>
      <c r="CA116" s="245"/>
      <c r="CB116" s="245"/>
      <c r="CC116" s="245"/>
      <c r="CD116" s="245"/>
      <c r="CE116" s="245"/>
      <c r="CF116" s="245"/>
      <c r="CG116" s="245"/>
      <c r="CH116" s="245"/>
      <c r="CI116" s="245"/>
      <c r="CJ116" s="245"/>
      <c r="CK116" s="245"/>
      <c r="CL116" s="245"/>
    </row>
    <row r="117" spans="1:90" s="245" customFormat="1" ht="63.75">
      <c r="A117" s="239">
        <v>115</v>
      </c>
      <c r="B117" s="247" t="s">
        <v>542</v>
      </c>
      <c r="C117" s="400">
        <v>43465</v>
      </c>
      <c r="D117" s="247" t="s">
        <v>543</v>
      </c>
      <c r="E117" s="401" t="s">
        <v>518</v>
      </c>
      <c r="F117" s="402" t="s">
        <v>531</v>
      </c>
      <c r="G117" s="403" t="s">
        <v>544</v>
      </c>
      <c r="H117" s="405">
        <v>24100</v>
      </c>
      <c r="I117" s="239"/>
    </row>
    <row r="118" spans="1:90" s="245" customFormat="1" ht="63.75">
      <c r="A118" s="239">
        <v>116</v>
      </c>
      <c r="B118" s="247" t="s">
        <v>542</v>
      </c>
      <c r="C118" s="400">
        <v>43465</v>
      </c>
      <c r="D118" s="247" t="s">
        <v>543</v>
      </c>
      <c r="E118" s="401" t="s">
        <v>518</v>
      </c>
      <c r="F118" s="402" t="s">
        <v>537</v>
      </c>
      <c r="G118" s="403" t="s">
        <v>544</v>
      </c>
      <c r="H118" s="405">
        <v>24100</v>
      </c>
      <c r="I118" s="239"/>
    </row>
    <row r="119" spans="1:90" s="245" customFormat="1" ht="63.75">
      <c r="A119" s="239">
        <v>117</v>
      </c>
      <c r="B119" s="247" t="s">
        <v>542</v>
      </c>
      <c r="C119" s="400">
        <v>43465</v>
      </c>
      <c r="D119" s="247" t="s">
        <v>543</v>
      </c>
      <c r="E119" s="401" t="s">
        <v>518</v>
      </c>
      <c r="F119" s="402" t="s">
        <v>532</v>
      </c>
      <c r="G119" s="403" t="s">
        <v>544</v>
      </c>
      <c r="H119" s="405">
        <v>24100</v>
      </c>
      <c r="I119" s="239"/>
    </row>
    <row r="120" spans="1:90" s="245" customFormat="1" ht="63.75">
      <c r="A120" s="239">
        <v>118</v>
      </c>
      <c r="B120" s="247" t="s">
        <v>542</v>
      </c>
      <c r="C120" s="400">
        <v>43465</v>
      </c>
      <c r="D120" s="247" t="s">
        <v>543</v>
      </c>
      <c r="E120" s="401" t="s">
        <v>518</v>
      </c>
      <c r="F120" s="410" t="s">
        <v>533</v>
      </c>
      <c r="G120" s="403" t="s">
        <v>544</v>
      </c>
      <c r="H120" s="405">
        <v>24100</v>
      </c>
      <c r="I120" s="239"/>
    </row>
    <row r="121" spans="1:90" s="245" customFormat="1" ht="63.75">
      <c r="A121" s="239">
        <v>119</v>
      </c>
      <c r="B121" s="247" t="s">
        <v>542</v>
      </c>
      <c r="C121" s="400">
        <v>43465</v>
      </c>
      <c r="D121" s="247" t="s">
        <v>543</v>
      </c>
      <c r="E121" s="401" t="s">
        <v>518</v>
      </c>
      <c r="F121" s="410" t="s">
        <v>534</v>
      </c>
      <c r="G121" s="403" t="s">
        <v>544</v>
      </c>
      <c r="H121" s="405">
        <v>24100</v>
      </c>
      <c r="I121" s="239"/>
    </row>
    <row r="122" spans="1:90" s="245" customFormat="1" ht="63.75">
      <c r="A122" s="239">
        <v>120</v>
      </c>
      <c r="B122" s="247" t="s">
        <v>542</v>
      </c>
      <c r="C122" s="400">
        <v>43465</v>
      </c>
      <c r="D122" s="247" t="s">
        <v>543</v>
      </c>
      <c r="E122" s="401" t="s">
        <v>518</v>
      </c>
      <c r="F122" s="410" t="s">
        <v>535</v>
      </c>
      <c r="G122" s="403" t="s">
        <v>544</v>
      </c>
      <c r="H122" s="405">
        <v>24100</v>
      </c>
      <c r="I122" s="239"/>
    </row>
    <row r="123" spans="1:90" s="245" customFormat="1" ht="63.75">
      <c r="A123" s="239">
        <v>121</v>
      </c>
      <c r="B123" s="247" t="s">
        <v>542</v>
      </c>
      <c r="C123" s="400">
        <v>43465</v>
      </c>
      <c r="D123" s="247" t="s">
        <v>543</v>
      </c>
      <c r="E123" s="401" t="s">
        <v>518</v>
      </c>
      <c r="F123" s="410" t="s">
        <v>536</v>
      </c>
      <c r="G123" s="403" t="s">
        <v>544</v>
      </c>
      <c r="H123" s="405">
        <v>24100</v>
      </c>
      <c r="I123" s="239"/>
    </row>
    <row r="124" spans="1:90" s="420" customFormat="1" ht="64.5" thickBot="1">
      <c r="A124" s="239">
        <v>122</v>
      </c>
      <c r="B124" s="247" t="s">
        <v>907</v>
      </c>
      <c r="C124" s="400">
        <v>43656</v>
      </c>
      <c r="D124" s="247" t="s">
        <v>906</v>
      </c>
      <c r="E124" s="401" t="s">
        <v>518</v>
      </c>
      <c r="F124" s="402" t="s">
        <v>814</v>
      </c>
      <c r="G124" s="403" t="s">
        <v>544</v>
      </c>
      <c r="H124" s="405">
        <v>24100</v>
      </c>
      <c r="I124" s="239"/>
      <c r="J124" s="245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  <c r="AA124" s="245"/>
      <c r="AB124" s="245"/>
      <c r="AC124" s="245"/>
      <c r="AD124" s="245"/>
      <c r="AE124" s="245"/>
      <c r="AF124" s="245"/>
      <c r="AG124" s="245"/>
      <c r="AH124" s="245"/>
      <c r="AI124" s="245"/>
      <c r="AJ124" s="245"/>
      <c r="AK124" s="245"/>
      <c r="AL124" s="245"/>
      <c r="AM124" s="245"/>
      <c r="AN124" s="245"/>
      <c r="AO124" s="245"/>
      <c r="AP124" s="245"/>
      <c r="AQ124" s="245"/>
      <c r="AR124" s="245"/>
      <c r="AS124" s="245"/>
      <c r="AT124" s="245"/>
      <c r="AU124" s="245"/>
      <c r="AV124" s="245"/>
      <c r="AW124" s="245"/>
      <c r="AX124" s="245"/>
      <c r="AY124" s="245"/>
      <c r="AZ124" s="245"/>
      <c r="BA124" s="245"/>
      <c r="BB124" s="245"/>
      <c r="BC124" s="245"/>
      <c r="BD124" s="245"/>
      <c r="BE124" s="245"/>
      <c r="BF124" s="245"/>
      <c r="BG124" s="245"/>
      <c r="BH124" s="245"/>
      <c r="BI124" s="245"/>
      <c r="BJ124" s="245"/>
      <c r="BK124" s="245"/>
      <c r="BL124" s="245"/>
      <c r="BM124" s="245"/>
      <c r="BN124" s="245"/>
      <c r="BO124" s="245"/>
      <c r="BP124" s="245"/>
      <c r="BQ124" s="245"/>
      <c r="BR124" s="245"/>
      <c r="BS124" s="245"/>
      <c r="BT124" s="245"/>
      <c r="BU124" s="245"/>
      <c r="BV124" s="245"/>
      <c r="BW124" s="245"/>
      <c r="BX124" s="245"/>
      <c r="BY124" s="245"/>
      <c r="BZ124" s="245"/>
      <c r="CA124" s="245"/>
      <c r="CB124" s="245"/>
      <c r="CC124" s="245"/>
      <c r="CD124" s="245"/>
      <c r="CE124" s="245"/>
      <c r="CF124" s="245"/>
      <c r="CG124" s="245"/>
      <c r="CH124" s="245"/>
      <c r="CI124" s="245"/>
      <c r="CJ124" s="245"/>
      <c r="CK124" s="245"/>
      <c r="CL124" s="245"/>
    </row>
    <row r="125" spans="1:90" s="245" customFormat="1" ht="63.75">
      <c r="A125" s="239">
        <v>123</v>
      </c>
      <c r="B125" s="247" t="s">
        <v>907</v>
      </c>
      <c r="C125" s="400">
        <v>43656</v>
      </c>
      <c r="D125" s="247" t="s">
        <v>906</v>
      </c>
      <c r="E125" s="401" t="s">
        <v>518</v>
      </c>
      <c r="F125" s="402" t="s">
        <v>815</v>
      </c>
      <c r="G125" s="403" t="s">
        <v>544</v>
      </c>
      <c r="H125" s="405">
        <v>24100</v>
      </c>
      <c r="I125" s="239"/>
    </row>
    <row r="126" spans="1:90" s="245" customFormat="1" ht="63.75">
      <c r="A126" s="239">
        <v>124</v>
      </c>
      <c r="B126" s="247" t="s">
        <v>907</v>
      </c>
      <c r="C126" s="400">
        <v>43656</v>
      </c>
      <c r="D126" s="247" t="s">
        <v>906</v>
      </c>
      <c r="E126" s="401" t="s">
        <v>518</v>
      </c>
      <c r="F126" s="402" t="s">
        <v>816</v>
      </c>
      <c r="G126" s="403" t="s">
        <v>544</v>
      </c>
      <c r="H126" s="405">
        <v>24100</v>
      </c>
      <c r="I126" s="239"/>
    </row>
    <row r="127" spans="1:90" s="245" customFormat="1" ht="63.75">
      <c r="A127" s="239">
        <v>125</v>
      </c>
      <c r="B127" s="247" t="s">
        <v>907</v>
      </c>
      <c r="C127" s="400">
        <v>43656</v>
      </c>
      <c r="D127" s="247" t="s">
        <v>906</v>
      </c>
      <c r="E127" s="401" t="s">
        <v>518</v>
      </c>
      <c r="F127" s="402" t="s">
        <v>817</v>
      </c>
      <c r="G127" s="403" t="s">
        <v>544</v>
      </c>
      <c r="H127" s="405">
        <v>24100</v>
      </c>
      <c r="I127" s="239"/>
    </row>
    <row r="128" spans="1:90" s="245" customFormat="1" ht="63.75">
      <c r="A128" s="239">
        <v>126</v>
      </c>
      <c r="B128" s="247" t="s">
        <v>907</v>
      </c>
      <c r="C128" s="400">
        <v>43656</v>
      </c>
      <c r="D128" s="247" t="s">
        <v>906</v>
      </c>
      <c r="E128" s="401" t="s">
        <v>518</v>
      </c>
      <c r="F128" s="402" t="s">
        <v>818</v>
      </c>
      <c r="G128" s="403" t="s">
        <v>544</v>
      </c>
      <c r="H128" s="405">
        <v>24100</v>
      </c>
      <c r="I128" s="239"/>
    </row>
    <row r="129" spans="1:9" s="245" customFormat="1" ht="63.75">
      <c r="A129" s="239">
        <v>127</v>
      </c>
      <c r="B129" s="247" t="s">
        <v>907</v>
      </c>
      <c r="C129" s="400">
        <v>43656</v>
      </c>
      <c r="D129" s="247" t="s">
        <v>906</v>
      </c>
      <c r="E129" s="401" t="s">
        <v>518</v>
      </c>
      <c r="F129" s="402" t="s">
        <v>819</v>
      </c>
      <c r="G129" s="403" t="s">
        <v>544</v>
      </c>
      <c r="H129" s="405">
        <v>24100</v>
      </c>
      <c r="I129" s="239"/>
    </row>
    <row r="130" spans="1:9" s="245" customFormat="1" ht="63.75">
      <c r="A130" s="239">
        <v>128</v>
      </c>
      <c r="B130" s="247" t="s">
        <v>907</v>
      </c>
      <c r="C130" s="400">
        <v>43656</v>
      </c>
      <c r="D130" s="247" t="s">
        <v>906</v>
      </c>
      <c r="E130" s="401" t="s">
        <v>518</v>
      </c>
      <c r="F130" s="402" t="s">
        <v>820</v>
      </c>
      <c r="G130" s="403" t="s">
        <v>544</v>
      </c>
      <c r="H130" s="405">
        <v>24100</v>
      </c>
      <c r="I130" s="239"/>
    </row>
    <row r="131" spans="1:9" s="245" customFormat="1" ht="63.75">
      <c r="A131" s="239">
        <v>129</v>
      </c>
      <c r="B131" s="247" t="s">
        <v>907</v>
      </c>
      <c r="C131" s="400">
        <v>43656</v>
      </c>
      <c r="D131" s="247" t="s">
        <v>906</v>
      </c>
      <c r="E131" s="401" t="s">
        <v>518</v>
      </c>
      <c r="F131" s="402" t="s">
        <v>821</v>
      </c>
      <c r="G131" s="403" t="s">
        <v>544</v>
      </c>
      <c r="H131" s="405">
        <v>24100</v>
      </c>
      <c r="I131" s="239"/>
    </row>
    <row r="132" spans="1:9" s="245" customFormat="1" ht="63.75">
      <c r="A132" s="239">
        <v>130</v>
      </c>
      <c r="B132" s="247" t="s">
        <v>907</v>
      </c>
      <c r="C132" s="400">
        <v>43656</v>
      </c>
      <c r="D132" s="247" t="s">
        <v>906</v>
      </c>
      <c r="E132" s="401" t="s">
        <v>518</v>
      </c>
      <c r="F132" s="402" t="s">
        <v>822</v>
      </c>
      <c r="G132" s="403" t="s">
        <v>544</v>
      </c>
      <c r="H132" s="405">
        <v>24100</v>
      </c>
      <c r="I132" s="239"/>
    </row>
    <row r="133" spans="1:9" s="245" customFormat="1" ht="63.75">
      <c r="A133" s="239">
        <v>131</v>
      </c>
      <c r="B133" s="247" t="s">
        <v>1039</v>
      </c>
      <c r="C133" s="400">
        <v>43661</v>
      </c>
      <c r="D133" s="247" t="s">
        <v>906</v>
      </c>
      <c r="E133" s="401" t="s">
        <v>518</v>
      </c>
      <c r="F133" s="402" t="s">
        <v>862</v>
      </c>
      <c r="G133" s="403" t="s">
        <v>544</v>
      </c>
      <c r="H133" s="405">
        <v>24100</v>
      </c>
      <c r="I133" s="239"/>
    </row>
    <row r="134" spans="1:9" s="245" customFormat="1" ht="63.75">
      <c r="A134" s="239">
        <v>132</v>
      </c>
      <c r="B134" s="247" t="s">
        <v>907</v>
      </c>
      <c r="C134" s="400">
        <v>43656</v>
      </c>
      <c r="D134" s="247" t="s">
        <v>906</v>
      </c>
      <c r="E134" s="401" t="s">
        <v>518</v>
      </c>
      <c r="F134" s="402" t="s">
        <v>823</v>
      </c>
      <c r="G134" s="403" t="s">
        <v>544</v>
      </c>
      <c r="H134" s="405">
        <v>24100</v>
      </c>
      <c r="I134" s="239"/>
    </row>
    <row r="135" spans="1:9" s="245" customFormat="1" ht="63.75">
      <c r="A135" s="239">
        <v>133</v>
      </c>
      <c r="B135" s="247" t="s">
        <v>1039</v>
      </c>
      <c r="C135" s="400">
        <v>43661</v>
      </c>
      <c r="D135" s="247" t="s">
        <v>906</v>
      </c>
      <c r="E135" s="401" t="s">
        <v>518</v>
      </c>
      <c r="F135" s="402" t="s">
        <v>856</v>
      </c>
      <c r="G135" s="403" t="s">
        <v>544</v>
      </c>
      <c r="H135" s="405">
        <v>24100</v>
      </c>
      <c r="I135" s="239"/>
    </row>
    <row r="136" spans="1:9" s="245" customFormat="1" ht="63.75">
      <c r="A136" s="239">
        <v>134</v>
      </c>
      <c r="B136" s="247" t="s">
        <v>1039</v>
      </c>
      <c r="C136" s="400">
        <v>43661</v>
      </c>
      <c r="D136" s="247" t="s">
        <v>906</v>
      </c>
      <c r="E136" s="401" t="s">
        <v>518</v>
      </c>
      <c r="F136" s="402" t="s">
        <v>857</v>
      </c>
      <c r="G136" s="403" t="s">
        <v>544</v>
      </c>
      <c r="H136" s="405">
        <v>24100</v>
      </c>
      <c r="I136" s="239"/>
    </row>
    <row r="137" spans="1:9" s="245" customFormat="1" ht="63.75">
      <c r="A137" s="239">
        <v>135</v>
      </c>
      <c r="B137" s="247" t="s">
        <v>1039</v>
      </c>
      <c r="C137" s="400">
        <v>43661</v>
      </c>
      <c r="D137" s="247" t="s">
        <v>906</v>
      </c>
      <c r="E137" s="401" t="s">
        <v>518</v>
      </c>
      <c r="F137" s="402" t="s">
        <v>858</v>
      </c>
      <c r="G137" s="403" t="s">
        <v>544</v>
      </c>
      <c r="H137" s="405">
        <v>24100</v>
      </c>
      <c r="I137" s="239"/>
    </row>
    <row r="138" spans="1:9" s="245" customFormat="1" ht="63.75">
      <c r="A138" s="239">
        <v>136</v>
      </c>
      <c r="B138" s="247" t="s">
        <v>1039</v>
      </c>
      <c r="C138" s="400">
        <v>43661</v>
      </c>
      <c r="D138" s="247" t="s">
        <v>906</v>
      </c>
      <c r="E138" s="401" t="s">
        <v>518</v>
      </c>
      <c r="F138" s="402" t="s">
        <v>859</v>
      </c>
      <c r="G138" s="403" t="s">
        <v>544</v>
      </c>
      <c r="H138" s="405">
        <v>24100</v>
      </c>
      <c r="I138" s="239"/>
    </row>
    <row r="139" spans="1:9" s="245" customFormat="1" ht="63.75">
      <c r="A139" s="239">
        <v>137</v>
      </c>
      <c r="B139" s="247" t="s">
        <v>1039</v>
      </c>
      <c r="C139" s="400">
        <v>43661</v>
      </c>
      <c r="D139" s="247" t="s">
        <v>906</v>
      </c>
      <c r="E139" s="401" t="s">
        <v>518</v>
      </c>
      <c r="F139" s="402" t="s">
        <v>860</v>
      </c>
      <c r="G139" s="403" t="s">
        <v>544</v>
      </c>
      <c r="H139" s="405">
        <v>24100</v>
      </c>
      <c r="I139" s="239"/>
    </row>
    <row r="140" spans="1:9" s="245" customFormat="1" ht="63.75">
      <c r="A140" s="239">
        <v>138</v>
      </c>
      <c r="B140" s="247" t="s">
        <v>1039</v>
      </c>
      <c r="C140" s="400">
        <v>43661</v>
      </c>
      <c r="D140" s="247" t="s">
        <v>906</v>
      </c>
      <c r="E140" s="401" t="s">
        <v>518</v>
      </c>
      <c r="F140" s="402" t="s">
        <v>861</v>
      </c>
      <c r="G140" s="403" t="s">
        <v>544</v>
      </c>
      <c r="H140" s="405">
        <v>24100</v>
      </c>
      <c r="I140" s="239"/>
    </row>
    <row r="141" spans="1:9" s="245" customFormat="1" ht="63.75">
      <c r="A141" s="239">
        <v>139</v>
      </c>
      <c r="B141" s="247" t="s">
        <v>1039</v>
      </c>
      <c r="C141" s="400">
        <v>43661</v>
      </c>
      <c r="D141" s="247" t="s">
        <v>906</v>
      </c>
      <c r="E141" s="401" t="s">
        <v>518</v>
      </c>
      <c r="F141" s="402" t="s">
        <v>865</v>
      </c>
      <c r="G141" s="403" t="s">
        <v>544</v>
      </c>
      <c r="H141" s="405">
        <v>24100</v>
      </c>
      <c r="I141" s="239"/>
    </row>
    <row r="142" spans="1:9" s="245" customFormat="1" ht="63.75">
      <c r="A142" s="239">
        <v>140</v>
      </c>
      <c r="B142" s="247" t="s">
        <v>1037</v>
      </c>
      <c r="C142" s="400">
        <v>43664</v>
      </c>
      <c r="D142" s="247" t="s">
        <v>906</v>
      </c>
      <c r="E142" s="401" t="s">
        <v>518</v>
      </c>
      <c r="F142" s="402" t="s">
        <v>881</v>
      </c>
      <c r="G142" s="403" t="s">
        <v>544</v>
      </c>
      <c r="H142" s="405">
        <v>24100</v>
      </c>
      <c r="I142" s="239"/>
    </row>
    <row r="143" spans="1:9" s="245" customFormat="1" ht="63.75">
      <c r="A143" s="239">
        <v>141</v>
      </c>
      <c r="B143" s="247" t="s">
        <v>1037</v>
      </c>
      <c r="C143" s="400">
        <v>43664</v>
      </c>
      <c r="D143" s="247" t="s">
        <v>906</v>
      </c>
      <c r="E143" s="401" t="s">
        <v>518</v>
      </c>
      <c r="F143" s="402" t="s">
        <v>882</v>
      </c>
      <c r="G143" s="403" t="s">
        <v>544</v>
      </c>
      <c r="H143" s="405">
        <v>24100</v>
      </c>
      <c r="I143" s="239"/>
    </row>
    <row r="144" spans="1:9" s="245" customFormat="1" ht="63.75">
      <c r="A144" s="239">
        <v>142</v>
      </c>
      <c r="B144" s="247" t="s">
        <v>1037</v>
      </c>
      <c r="C144" s="400">
        <v>43664</v>
      </c>
      <c r="D144" s="247" t="s">
        <v>906</v>
      </c>
      <c r="E144" s="401" t="s">
        <v>518</v>
      </c>
      <c r="F144" s="402" t="s">
        <v>883</v>
      </c>
      <c r="G144" s="403" t="s">
        <v>544</v>
      </c>
      <c r="H144" s="405">
        <v>24100</v>
      </c>
      <c r="I144" s="239"/>
    </row>
    <row r="145" spans="1:90" s="420" customFormat="1" ht="64.5" thickBot="1">
      <c r="A145" s="239">
        <v>143</v>
      </c>
      <c r="B145" s="247" t="s">
        <v>1037</v>
      </c>
      <c r="C145" s="400">
        <v>43664</v>
      </c>
      <c r="D145" s="247" t="s">
        <v>906</v>
      </c>
      <c r="E145" s="401" t="s">
        <v>518</v>
      </c>
      <c r="F145" s="402" t="s">
        <v>884</v>
      </c>
      <c r="G145" s="403" t="s">
        <v>544</v>
      </c>
      <c r="H145" s="405">
        <v>24100</v>
      </c>
      <c r="I145" s="239"/>
      <c r="J145" s="245"/>
      <c r="K145" s="245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  <c r="AB145" s="245"/>
      <c r="AC145" s="245"/>
      <c r="AD145" s="245"/>
      <c r="AE145" s="245"/>
      <c r="AF145" s="245"/>
      <c r="AG145" s="245"/>
      <c r="AH145" s="245"/>
      <c r="AI145" s="245"/>
      <c r="AJ145" s="245"/>
      <c r="AK145" s="245"/>
      <c r="AL145" s="245"/>
      <c r="AM145" s="245"/>
      <c r="AN145" s="245"/>
      <c r="AO145" s="245"/>
      <c r="AP145" s="245"/>
      <c r="AQ145" s="245"/>
      <c r="AR145" s="245"/>
      <c r="AS145" s="245"/>
      <c r="AT145" s="245"/>
      <c r="AU145" s="245"/>
      <c r="AV145" s="245"/>
      <c r="AW145" s="245"/>
      <c r="AX145" s="245"/>
      <c r="AY145" s="245"/>
      <c r="AZ145" s="245"/>
      <c r="BA145" s="245"/>
      <c r="BB145" s="245"/>
      <c r="BC145" s="245"/>
      <c r="BD145" s="245"/>
      <c r="BE145" s="245"/>
      <c r="BF145" s="245"/>
      <c r="BG145" s="245"/>
      <c r="BH145" s="245"/>
      <c r="BI145" s="245"/>
      <c r="BJ145" s="245"/>
      <c r="BK145" s="245"/>
      <c r="BL145" s="245"/>
      <c r="BM145" s="245"/>
      <c r="BN145" s="245"/>
      <c r="BO145" s="245"/>
      <c r="BP145" s="245"/>
      <c r="BQ145" s="245"/>
      <c r="BR145" s="245"/>
      <c r="BS145" s="245"/>
      <c r="BT145" s="245"/>
      <c r="BU145" s="245"/>
      <c r="BV145" s="245"/>
      <c r="BW145" s="245"/>
      <c r="BX145" s="245"/>
      <c r="BY145" s="245"/>
      <c r="BZ145" s="245"/>
      <c r="CA145" s="245"/>
      <c r="CB145" s="245"/>
      <c r="CC145" s="245"/>
      <c r="CD145" s="245"/>
      <c r="CE145" s="245"/>
      <c r="CF145" s="245"/>
      <c r="CG145" s="245"/>
      <c r="CH145" s="245"/>
      <c r="CI145" s="245"/>
      <c r="CJ145" s="245"/>
      <c r="CK145" s="245"/>
      <c r="CL145" s="245"/>
    </row>
    <row r="146" spans="1:90" s="245" customFormat="1" ht="63.75">
      <c r="A146" s="239">
        <v>144</v>
      </c>
      <c r="B146" s="247" t="s">
        <v>1037</v>
      </c>
      <c r="C146" s="400">
        <v>43664</v>
      </c>
      <c r="D146" s="247" t="s">
        <v>906</v>
      </c>
      <c r="E146" s="401" t="s">
        <v>518</v>
      </c>
      <c r="F146" s="402" t="s">
        <v>877</v>
      </c>
      <c r="G146" s="403" t="s">
        <v>544</v>
      </c>
      <c r="H146" s="405">
        <v>24100</v>
      </c>
      <c r="I146" s="239"/>
    </row>
    <row r="147" spans="1:90" s="245" customFormat="1" ht="63.75">
      <c r="A147" s="239">
        <v>145</v>
      </c>
      <c r="B147" s="247" t="s">
        <v>1037</v>
      </c>
      <c r="C147" s="400">
        <v>43664</v>
      </c>
      <c r="D147" s="247" t="s">
        <v>906</v>
      </c>
      <c r="E147" s="401" t="s">
        <v>518</v>
      </c>
      <c r="F147" s="402" t="s">
        <v>878</v>
      </c>
      <c r="G147" s="403" t="s">
        <v>544</v>
      </c>
      <c r="H147" s="405">
        <v>24100</v>
      </c>
      <c r="I147" s="239"/>
    </row>
    <row r="148" spans="1:90" s="245" customFormat="1" ht="63.75">
      <c r="A148" s="239">
        <v>146</v>
      </c>
      <c r="B148" s="247" t="s">
        <v>1037</v>
      </c>
      <c r="C148" s="400">
        <v>43664</v>
      </c>
      <c r="D148" s="247" t="s">
        <v>906</v>
      </c>
      <c r="E148" s="401" t="s">
        <v>518</v>
      </c>
      <c r="F148" s="402" t="s">
        <v>879</v>
      </c>
      <c r="G148" s="403" t="s">
        <v>544</v>
      </c>
      <c r="H148" s="405">
        <v>24100</v>
      </c>
      <c r="I148" s="239"/>
    </row>
    <row r="149" spans="1:90" s="245" customFormat="1" ht="63.75">
      <c r="A149" s="239">
        <v>147</v>
      </c>
      <c r="B149" s="247" t="s">
        <v>1037</v>
      </c>
      <c r="C149" s="400">
        <v>43664</v>
      </c>
      <c r="D149" s="247" t="s">
        <v>906</v>
      </c>
      <c r="E149" s="401" t="s">
        <v>518</v>
      </c>
      <c r="F149" s="402" t="s">
        <v>880</v>
      </c>
      <c r="G149" s="403" t="s">
        <v>544</v>
      </c>
      <c r="H149" s="405">
        <v>24100</v>
      </c>
      <c r="I149" s="239"/>
    </row>
    <row r="150" spans="1:90" s="245" customFormat="1" ht="63.75">
      <c r="A150" s="239">
        <v>148</v>
      </c>
      <c r="B150" s="247" t="s">
        <v>1037</v>
      </c>
      <c r="C150" s="400">
        <v>43664</v>
      </c>
      <c r="D150" s="247" t="s">
        <v>906</v>
      </c>
      <c r="E150" s="401" t="s">
        <v>518</v>
      </c>
      <c r="F150" s="402" t="s">
        <v>888</v>
      </c>
      <c r="G150" s="403" t="s">
        <v>544</v>
      </c>
      <c r="H150" s="405">
        <v>24100</v>
      </c>
      <c r="I150" s="239"/>
    </row>
    <row r="151" spans="1:90" s="245" customFormat="1" ht="63.75">
      <c r="A151" s="239">
        <v>149</v>
      </c>
      <c r="B151" s="247" t="s">
        <v>1037</v>
      </c>
      <c r="C151" s="400">
        <v>43664</v>
      </c>
      <c r="D151" s="247" t="s">
        <v>906</v>
      </c>
      <c r="E151" s="401" t="s">
        <v>518</v>
      </c>
      <c r="F151" s="402" t="s">
        <v>887</v>
      </c>
      <c r="G151" s="403" t="s">
        <v>544</v>
      </c>
      <c r="H151" s="405">
        <v>24100</v>
      </c>
      <c r="I151" s="239"/>
    </row>
    <row r="152" spans="1:90" s="245" customFormat="1" ht="63.75">
      <c r="A152" s="239">
        <v>150</v>
      </c>
      <c r="B152" s="247" t="s">
        <v>1037</v>
      </c>
      <c r="C152" s="400">
        <v>43664</v>
      </c>
      <c r="D152" s="247" t="s">
        <v>906</v>
      </c>
      <c r="E152" s="401" t="s">
        <v>518</v>
      </c>
      <c r="F152" s="402" t="s">
        <v>886</v>
      </c>
      <c r="G152" s="403" t="s">
        <v>544</v>
      </c>
      <c r="H152" s="405">
        <v>24100</v>
      </c>
      <c r="I152" s="239"/>
    </row>
    <row r="153" spans="1:90" s="245" customFormat="1" ht="63.75">
      <c r="A153" s="239">
        <v>151</v>
      </c>
      <c r="B153" s="247" t="s">
        <v>1037</v>
      </c>
      <c r="C153" s="400">
        <v>43664</v>
      </c>
      <c r="D153" s="247" t="s">
        <v>906</v>
      </c>
      <c r="E153" s="401" t="s">
        <v>518</v>
      </c>
      <c r="F153" s="402" t="s">
        <v>885</v>
      </c>
      <c r="G153" s="403" t="s">
        <v>544</v>
      </c>
      <c r="H153" s="405">
        <v>24100</v>
      </c>
      <c r="I153" s="239"/>
    </row>
    <row r="154" spans="1:90" s="245" customFormat="1" ht="63.75">
      <c r="A154" s="239">
        <v>152</v>
      </c>
      <c r="B154" s="247" t="s">
        <v>1038</v>
      </c>
      <c r="C154" s="400">
        <v>43668</v>
      </c>
      <c r="D154" s="247" t="s">
        <v>906</v>
      </c>
      <c r="E154" s="401" t="s">
        <v>518</v>
      </c>
      <c r="F154" s="402" t="s">
        <v>1025</v>
      </c>
      <c r="G154" s="403" t="s">
        <v>544</v>
      </c>
      <c r="H154" s="405">
        <v>24100</v>
      </c>
      <c r="I154" s="239"/>
    </row>
    <row r="155" spans="1:90" s="245" customFormat="1" ht="63.75">
      <c r="A155" s="239">
        <v>153</v>
      </c>
      <c r="B155" s="247" t="s">
        <v>1038</v>
      </c>
      <c r="C155" s="400">
        <v>43668</v>
      </c>
      <c r="D155" s="247" t="s">
        <v>906</v>
      </c>
      <c r="E155" s="401" t="s">
        <v>518</v>
      </c>
      <c r="F155" s="402" t="s">
        <v>1026</v>
      </c>
      <c r="G155" s="403" t="s">
        <v>544</v>
      </c>
      <c r="H155" s="405">
        <v>24100</v>
      </c>
      <c r="I155" s="239"/>
    </row>
    <row r="156" spans="1:90" s="245" customFormat="1" ht="63.75">
      <c r="A156" s="239">
        <v>154</v>
      </c>
      <c r="B156" s="247" t="s">
        <v>1038</v>
      </c>
      <c r="C156" s="400">
        <v>43668</v>
      </c>
      <c r="D156" s="247" t="s">
        <v>906</v>
      </c>
      <c r="E156" s="401" t="s">
        <v>518</v>
      </c>
      <c r="F156" s="402" t="s">
        <v>1494</v>
      </c>
      <c r="G156" s="403" t="s">
        <v>544</v>
      </c>
      <c r="H156" s="405">
        <v>24100</v>
      </c>
      <c r="I156" s="427" t="s">
        <v>1495</v>
      </c>
    </row>
    <row r="157" spans="1:90" s="245" customFormat="1" ht="63.75">
      <c r="A157" s="239">
        <v>155</v>
      </c>
      <c r="B157" s="247" t="s">
        <v>1038</v>
      </c>
      <c r="C157" s="400">
        <v>43668</v>
      </c>
      <c r="D157" s="247" t="s">
        <v>906</v>
      </c>
      <c r="E157" s="401" t="s">
        <v>518</v>
      </c>
      <c r="F157" s="402" t="s">
        <v>1028</v>
      </c>
      <c r="G157" s="403" t="s">
        <v>544</v>
      </c>
      <c r="H157" s="405">
        <v>24100</v>
      </c>
      <c r="I157" s="239"/>
    </row>
    <row r="158" spans="1:90" s="245" customFormat="1" ht="63.75">
      <c r="A158" s="239">
        <v>156</v>
      </c>
      <c r="B158" s="247" t="s">
        <v>1038</v>
      </c>
      <c r="C158" s="400">
        <v>43668</v>
      </c>
      <c r="D158" s="247" t="s">
        <v>906</v>
      </c>
      <c r="E158" s="401" t="s">
        <v>518</v>
      </c>
      <c r="F158" s="402" t="s">
        <v>1029</v>
      </c>
      <c r="G158" s="403" t="s">
        <v>544</v>
      </c>
      <c r="H158" s="405">
        <v>24100</v>
      </c>
      <c r="I158" s="239"/>
    </row>
    <row r="159" spans="1:90" s="245" customFormat="1" ht="63.75">
      <c r="A159" s="239">
        <v>157</v>
      </c>
      <c r="B159" s="247" t="s">
        <v>1038</v>
      </c>
      <c r="C159" s="400">
        <v>43668</v>
      </c>
      <c r="D159" s="247" t="s">
        <v>906</v>
      </c>
      <c r="E159" s="401" t="s">
        <v>518</v>
      </c>
      <c r="F159" s="402" t="s">
        <v>1030</v>
      </c>
      <c r="G159" s="403" t="s">
        <v>544</v>
      </c>
      <c r="H159" s="405">
        <v>24100</v>
      </c>
      <c r="I159" s="239"/>
    </row>
    <row r="160" spans="1:90" s="245" customFormat="1" ht="63.75">
      <c r="A160" s="239">
        <v>158</v>
      </c>
      <c r="B160" s="247" t="s">
        <v>1038</v>
      </c>
      <c r="C160" s="400">
        <v>43668</v>
      </c>
      <c r="D160" s="247" t="s">
        <v>906</v>
      </c>
      <c r="E160" s="401" t="s">
        <v>518</v>
      </c>
      <c r="F160" s="402" t="s">
        <v>1031</v>
      </c>
      <c r="G160" s="403" t="s">
        <v>544</v>
      </c>
      <c r="H160" s="405">
        <v>24100</v>
      </c>
      <c r="I160" s="239"/>
    </row>
    <row r="161" spans="1:9" s="245" customFormat="1" ht="63.75">
      <c r="A161" s="239">
        <v>159</v>
      </c>
      <c r="B161" s="247" t="s">
        <v>1038</v>
      </c>
      <c r="C161" s="400">
        <v>43668</v>
      </c>
      <c r="D161" s="247" t="s">
        <v>906</v>
      </c>
      <c r="E161" s="401" t="s">
        <v>518</v>
      </c>
      <c r="F161" s="402" t="s">
        <v>1032</v>
      </c>
      <c r="G161" s="403" t="s">
        <v>544</v>
      </c>
      <c r="H161" s="405">
        <v>24100</v>
      </c>
      <c r="I161" s="239"/>
    </row>
    <row r="162" spans="1:9" s="245" customFormat="1" ht="63.75">
      <c r="A162" s="239">
        <v>160</v>
      </c>
      <c r="B162" s="247" t="s">
        <v>1038</v>
      </c>
      <c r="C162" s="400">
        <v>43668</v>
      </c>
      <c r="D162" s="247" t="s">
        <v>906</v>
      </c>
      <c r="E162" s="401" t="s">
        <v>518</v>
      </c>
      <c r="F162" s="402" t="s">
        <v>1033</v>
      </c>
      <c r="G162" s="403" t="s">
        <v>544</v>
      </c>
      <c r="H162" s="405">
        <v>24100</v>
      </c>
      <c r="I162" s="239"/>
    </row>
    <row r="163" spans="1:9" s="245" customFormat="1" ht="63.75">
      <c r="A163" s="239">
        <v>161</v>
      </c>
      <c r="B163" s="247" t="s">
        <v>1038</v>
      </c>
      <c r="C163" s="400">
        <v>43668</v>
      </c>
      <c r="D163" s="247" t="s">
        <v>906</v>
      </c>
      <c r="E163" s="401" t="s">
        <v>518</v>
      </c>
      <c r="F163" s="402" t="s">
        <v>1034</v>
      </c>
      <c r="G163" s="403" t="s">
        <v>544</v>
      </c>
      <c r="H163" s="405">
        <v>24100</v>
      </c>
      <c r="I163" s="239"/>
    </row>
    <row r="164" spans="1:9" s="245" customFormat="1" ht="63.75">
      <c r="A164" s="239">
        <v>162</v>
      </c>
      <c r="B164" s="247" t="s">
        <v>1177</v>
      </c>
      <c r="C164" s="400">
        <v>43735</v>
      </c>
      <c r="D164" s="247" t="s">
        <v>1176</v>
      </c>
      <c r="E164" s="401" t="s">
        <v>518</v>
      </c>
      <c r="F164" s="402" t="s">
        <v>1127</v>
      </c>
      <c r="G164" s="403" t="s">
        <v>544</v>
      </c>
      <c r="H164" s="405">
        <v>21300</v>
      </c>
      <c r="I164" s="239"/>
    </row>
    <row r="165" spans="1:9" s="245" customFormat="1" ht="63.75">
      <c r="A165" s="239">
        <v>163</v>
      </c>
      <c r="B165" s="247" t="s">
        <v>1177</v>
      </c>
      <c r="C165" s="400">
        <v>43735</v>
      </c>
      <c r="D165" s="247" t="s">
        <v>1176</v>
      </c>
      <c r="E165" s="401" t="s">
        <v>518</v>
      </c>
      <c r="F165" s="402" t="s">
        <v>1128</v>
      </c>
      <c r="G165" s="403" t="s">
        <v>544</v>
      </c>
      <c r="H165" s="405">
        <v>21300</v>
      </c>
      <c r="I165" s="239"/>
    </row>
    <row r="166" spans="1:9" s="245" customFormat="1" ht="63.75">
      <c r="A166" s="239">
        <v>164</v>
      </c>
      <c r="B166" s="247" t="s">
        <v>1177</v>
      </c>
      <c r="C166" s="400">
        <v>43735</v>
      </c>
      <c r="D166" s="247" t="s">
        <v>1176</v>
      </c>
      <c r="E166" s="401" t="s">
        <v>518</v>
      </c>
      <c r="F166" s="402" t="s">
        <v>1129</v>
      </c>
      <c r="G166" s="403" t="s">
        <v>544</v>
      </c>
      <c r="H166" s="405">
        <v>21300</v>
      </c>
      <c r="I166" s="247" t="s">
        <v>1130</v>
      </c>
    </row>
    <row r="167" spans="1:9" s="245" customFormat="1" ht="63.75">
      <c r="A167" s="239">
        <v>165</v>
      </c>
      <c r="B167" s="247" t="s">
        <v>1158</v>
      </c>
      <c r="C167" s="400">
        <v>43760</v>
      </c>
      <c r="D167" s="247" t="s">
        <v>1159</v>
      </c>
      <c r="E167" s="401" t="s">
        <v>518</v>
      </c>
      <c r="F167" s="402" t="s">
        <v>1144</v>
      </c>
      <c r="G167" s="403" t="s">
        <v>544</v>
      </c>
      <c r="H167" s="405">
        <v>21300</v>
      </c>
      <c r="I167" s="247" t="s">
        <v>1149</v>
      </c>
    </row>
    <row r="168" spans="1:9" s="245" customFormat="1" ht="63.75">
      <c r="A168" s="239">
        <v>166</v>
      </c>
      <c r="B168" s="247" t="s">
        <v>1158</v>
      </c>
      <c r="C168" s="400">
        <v>43760</v>
      </c>
      <c r="D168" s="247" t="s">
        <v>1159</v>
      </c>
      <c r="E168" s="401" t="s">
        <v>518</v>
      </c>
      <c r="F168" s="402" t="s">
        <v>1145</v>
      </c>
      <c r="G168" s="403" t="s">
        <v>544</v>
      </c>
      <c r="H168" s="405">
        <v>21300</v>
      </c>
      <c r="I168" s="247" t="s">
        <v>1149</v>
      </c>
    </row>
    <row r="169" spans="1:9" s="245" customFormat="1" ht="63.75">
      <c r="A169" s="239">
        <v>167</v>
      </c>
      <c r="B169" s="247" t="s">
        <v>1158</v>
      </c>
      <c r="C169" s="400">
        <v>43760</v>
      </c>
      <c r="D169" s="247" t="s">
        <v>1159</v>
      </c>
      <c r="E169" s="401" t="s">
        <v>518</v>
      </c>
      <c r="F169" s="402" t="s">
        <v>1146</v>
      </c>
      <c r="G169" s="403" t="s">
        <v>544</v>
      </c>
      <c r="H169" s="405">
        <v>21300</v>
      </c>
      <c r="I169" s="247" t="s">
        <v>1149</v>
      </c>
    </row>
    <row r="170" spans="1:9" s="245" customFormat="1" ht="63.75">
      <c r="A170" s="239">
        <v>168</v>
      </c>
      <c r="B170" s="247" t="s">
        <v>1158</v>
      </c>
      <c r="C170" s="400">
        <v>43760</v>
      </c>
      <c r="D170" s="247" t="s">
        <v>1159</v>
      </c>
      <c r="E170" s="401" t="s">
        <v>518</v>
      </c>
      <c r="F170" s="402" t="s">
        <v>1147</v>
      </c>
      <c r="G170" s="403" t="s">
        <v>544</v>
      </c>
      <c r="H170" s="405">
        <v>21300</v>
      </c>
      <c r="I170" s="247" t="s">
        <v>1149</v>
      </c>
    </row>
    <row r="171" spans="1:9" s="245" customFormat="1" ht="63.75">
      <c r="A171" s="239">
        <v>169</v>
      </c>
      <c r="B171" s="247" t="s">
        <v>1158</v>
      </c>
      <c r="C171" s="400">
        <v>43760</v>
      </c>
      <c r="D171" s="247" t="s">
        <v>1159</v>
      </c>
      <c r="E171" s="401" t="s">
        <v>518</v>
      </c>
      <c r="F171" s="402" t="s">
        <v>1148</v>
      </c>
      <c r="G171" s="403" t="s">
        <v>544</v>
      </c>
      <c r="H171" s="405">
        <v>21300</v>
      </c>
      <c r="I171" s="247" t="s">
        <v>1149</v>
      </c>
    </row>
    <row r="172" spans="1:9" s="245" customFormat="1" ht="63.75">
      <c r="A172" s="239">
        <v>170</v>
      </c>
      <c r="B172" s="247" t="s">
        <v>1196</v>
      </c>
      <c r="C172" s="400">
        <v>43794</v>
      </c>
      <c r="D172" s="247" t="s">
        <v>1175</v>
      </c>
      <c r="E172" s="401" t="s">
        <v>518</v>
      </c>
      <c r="F172" s="402" t="s">
        <v>1171</v>
      </c>
      <c r="G172" s="403" t="s">
        <v>544</v>
      </c>
      <c r="H172" s="405">
        <v>21300</v>
      </c>
      <c r="I172" s="247" t="s">
        <v>1170</v>
      </c>
    </row>
    <row r="173" spans="1:9" s="245" customFormat="1" ht="63.75">
      <c r="A173" s="239">
        <v>171</v>
      </c>
      <c r="B173" s="247" t="s">
        <v>1196</v>
      </c>
      <c r="C173" s="400">
        <v>43794</v>
      </c>
      <c r="D173" s="247" t="s">
        <v>1175</v>
      </c>
      <c r="E173" s="401" t="s">
        <v>518</v>
      </c>
      <c r="F173" s="402" t="s">
        <v>1172</v>
      </c>
      <c r="G173" s="403" t="s">
        <v>544</v>
      </c>
      <c r="H173" s="405">
        <v>21300</v>
      </c>
      <c r="I173" s="247" t="s">
        <v>1170</v>
      </c>
    </row>
    <row r="174" spans="1:9" s="245" customFormat="1" ht="63.75">
      <c r="A174" s="239">
        <v>172</v>
      </c>
      <c r="B174" s="247" t="s">
        <v>1196</v>
      </c>
      <c r="C174" s="400">
        <v>43794</v>
      </c>
      <c r="D174" s="247" t="s">
        <v>1175</v>
      </c>
      <c r="E174" s="401" t="s">
        <v>518</v>
      </c>
      <c r="F174" s="402" t="s">
        <v>1173</v>
      </c>
      <c r="G174" s="403" t="s">
        <v>544</v>
      </c>
      <c r="H174" s="405">
        <v>21300</v>
      </c>
      <c r="I174" s="247" t="s">
        <v>1170</v>
      </c>
    </row>
    <row r="175" spans="1:9" s="245" customFormat="1" ht="63.75">
      <c r="A175" s="239">
        <v>173</v>
      </c>
      <c r="B175" s="247" t="s">
        <v>1196</v>
      </c>
      <c r="C175" s="400">
        <v>43794</v>
      </c>
      <c r="D175" s="247" t="s">
        <v>1175</v>
      </c>
      <c r="E175" s="401" t="s">
        <v>518</v>
      </c>
      <c r="F175" s="402" t="s">
        <v>1174</v>
      </c>
      <c r="G175" s="403" t="s">
        <v>544</v>
      </c>
      <c r="H175" s="405">
        <v>21300</v>
      </c>
      <c r="I175" s="247" t="s">
        <v>1170</v>
      </c>
    </row>
    <row r="176" spans="1:9" s="245" customFormat="1" ht="63.75">
      <c r="A176" s="239">
        <v>174</v>
      </c>
      <c r="B176" s="247" t="s">
        <v>1197</v>
      </c>
      <c r="C176" s="400">
        <v>43794</v>
      </c>
      <c r="D176" s="247" t="s">
        <v>1187</v>
      </c>
      <c r="E176" s="401" t="s">
        <v>518</v>
      </c>
      <c r="F176" s="402" t="s">
        <v>1179</v>
      </c>
      <c r="G176" s="403" t="s">
        <v>544</v>
      </c>
      <c r="H176" s="405">
        <v>21300</v>
      </c>
      <c r="I176" s="247" t="s">
        <v>1178</v>
      </c>
    </row>
    <row r="177" spans="1:90" s="245" customFormat="1" ht="63.75">
      <c r="A177" s="239">
        <v>175</v>
      </c>
      <c r="B177" s="247" t="s">
        <v>1197</v>
      </c>
      <c r="C177" s="400">
        <v>43794</v>
      </c>
      <c r="D177" s="247" t="s">
        <v>1187</v>
      </c>
      <c r="E177" s="401" t="s">
        <v>518</v>
      </c>
      <c r="F177" s="402" t="s">
        <v>1180</v>
      </c>
      <c r="G177" s="403" t="s">
        <v>544</v>
      </c>
      <c r="H177" s="405">
        <v>21300</v>
      </c>
      <c r="I177" s="247" t="s">
        <v>1178</v>
      </c>
    </row>
    <row r="178" spans="1:90" s="245" customFormat="1" ht="63.75">
      <c r="A178" s="239">
        <v>176</v>
      </c>
      <c r="B178" s="247" t="s">
        <v>1197</v>
      </c>
      <c r="C178" s="400">
        <v>43794</v>
      </c>
      <c r="D178" s="247" t="s">
        <v>1187</v>
      </c>
      <c r="E178" s="401" t="s">
        <v>518</v>
      </c>
      <c r="F178" s="402" t="s">
        <v>1183</v>
      </c>
      <c r="G178" s="403" t="s">
        <v>544</v>
      </c>
      <c r="H178" s="405">
        <v>21300</v>
      </c>
      <c r="I178" s="247" t="s">
        <v>1178</v>
      </c>
    </row>
    <row r="179" spans="1:90" s="245" customFormat="1" ht="63.75">
      <c r="A179" s="239">
        <v>177</v>
      </c>
      <c r="B179" s="247" t="s">
        <v>1197</v>
      </c>
      <c r="C179" s="400">
        <v>43794</v>
      </c>
      <c r="D179" s="247" t="s">
        <v>1187</v>
      </c>
      <c r="E179" s="401" t="s">
        <v>518</v>
      </c>
      <c r="F179" s="402" t="s">
        <v>1181</v>
      </c>
      <c r="G179" s="403" t="s">
        <v>544</v>
      </c>
      <c r="H179" s="405">
        <v>21300</v>
      </c>
      <c r="I179" s="247" t="s">
        <v>1178</v>
      </c>
    </row>
    <row r="180" spans="1:90" s="245" customFormat="1" ht="63.75">
      <c r="A180" s="239">
        <v>178</v>
      </c>
      <c r="B180" s="247" t="s">
        <v>1197</v>
      </c>
      <c r="C180" s="400">
        <v>43794</v>
      </c>
      <c r="D180" s="247" t="s">
        <v>1187</v>
      </c>
      <c r="E180" s="401" t="s">
        <v>518</v>
      </c>
      <c r="F180" s="402" t="s">
        <v>1184</v>
      </c>
      <c r="G180" s="403" t="s">
        <v>544</v>
      </c>
      <c r="H180" s="405">
        <v>21300</v>
      </c>
      <c r="I180" s="247" t="s">
        <v>1178</v>
      </c>
    </row>
    <row r="181" spans="1:90" s="245" customFormat="1" ht="63.75">
      <c r="A181" s="239">
        <v>179</v>
      </c>
      <c r="B181" s="247" t="s">
        <v>1197</v>
      </c>
      <c r="C181" s="400">
        <v>43794</v>
      </c>
      <c r="D181" s="247" t="s">
        <v>1187</v>
      </c>
      <c r="E181" s="401" t="s">
        <v>518</v>
      </c>
      <c r="F181" s="402" t="s">
        <v>1182</v>
      </c>
      <c r="G181" s="403" t="s">
        <v>544</v>
      </c>
      <c r="H181" s="405">
        <v>21300</v>
      </c>
      <c r="I181" s="247" t="s">
        <v>1178</v>
      </c>
    </row>
    <row r="182" spans="1:90" s="245" customFormat="1" ht="63.75">
      <c r="A182" s="239">
        <v>180</v>
      </c>
      <c r="B182" s="247" t="s">
        <v>1197</v>
      </c>
      <c r="C182" s="400">
        <v>43794</v>
      </c>
      <c r="D182" s="247" t="s">
        <v>1187</v>
      </c>
      <c r="E182" s="401" t="s">
        <v>518</v>
      </c>
      <c r="F182" s="402" t="s">
        <v>1185</v>
      </c>
      <c r="G182" s="403" t="s">
        <v>544</v>
      </c>
      <c r="H182" s="405">
        <v>21300</v>
      </c>
      <c r="I182" s="247" t="s">
        <v>1178</v>
      </c>
    </row>
    <row r="183" spans="1:90" s="245" customFormat="1" ht="63.75">
      <c r="A183" s="239">
        <v>181</v>
      </c>
      <c r="B183" s="247" t="s">
        <v>1197</v>
      </c>
      <c r="C183" s="400">
        <v>43794</v>
      </c>
      <c r="D183" s="247" t="s">
        <v>1187</v>
      </c>
      <c r="E183" s="401" t="s">
        <v>518</v>
      </c>
      <c r="F183" s="402" t="s">
        <v>1186</v>
      </c>
      <c r="G183" s="403" t="s">
        <v>544</v>
      </c>
      <c r="H183" s="405">
        <v>21300</v>
      </c>
      <c r="I183" s="247" t="s">
        <v>1178</v>
      </c>
    </row>
    <row r="184" spans="1:90" s="245" customFormat="1" ht="63.75">
      <c r="A184" s="239">
        <v>182</v>
      </c>
      <c r="B184" s="247" t="s">
        <v>1199</v>
      </c>
      <c r="C184" s="400">
        <v>43805</v>
      </c>
      <c r="D184" s="247" t="s">
        <v>1195</v>
      </c>
      <c r="E184" s="401" t="s">
        <v>518</v>
      </c>
      <c r="F184" s="402" t="s">
        <v>1192</v>
      </c>
      <c r="G184" s="403" t="s">
        <v>544</v>
      </c>
      <c r="H184" s="405">
        <v>21300</v>
      </c>
      <c r="I184" s="247" t="s">
        <v>1191</v>
      </c>
    </row>
    <row r="185" spans="1:90" s="420" customFormat="1" ht="64.5" thickBot="1">
      <c r="A185" s="239">
        <v>183</v>
      </c>
      <c r="B185" s="247" t="s">
        <v>1199</v>
      </c>
      <c r="C185" s="400">
        <v>43805</v>
      </c>
      <c r="D185" s="247" t="s">
        <v>1195</v>
      </c>
      <c r="E185" s="401" t="s">
        <v>518</v>
      </c>
      <c r="F185" s="402" t="s">
        <v>1194</v>
      </c>
      <c r="G185" s="403" t="s">
        <v>544</v>
      </c>
      <c r="H185" s="405">
        <v>21300</v>
      </c>
      <c r="I185" s="247" t="s">
        <v>1191</v>
      </c>
      <c r="J185" s="245"/>
      <c r="K185" s="245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  <c r="AA185" s="245"/>
      <c r="AB185" s="245"/>
      <c r="AC185" s="245"/>
      <c r="AD185" s="245"/>
      <c r="AE185" s="245"/>
      <c r="AF185" s="245"/>
      <c r="AG185" s="245"/>
      <c r="AH185" s="245"/>
      <c r="AI185" s="245"/>
      <c r="AJ185" s="245"/>
      <c r="AK185" s="245"/>
      <c r="AL185" s="245"/>
      <c r="AM185" s="245"/>
      <c r="AN185" s="245"/>
      <c r="AO185" s="245"/>
      <c r="AP185" s="245"/>
      <c r="AQ185" s="245"/>
      <c r="AR185" s="245"/>
      <c r="AS185" s="245"/>
      <c r="AT185" s="245"/>
      <c r="AU185" s="245"/>
      <c r="AV185" s="245"/>
      <c r="AW185" s="245"/>
      <c r="AX185" s="245"/>
      <c r="AY185" s="245"/>
      <c r="AZ185" s="245"/>
      <c r="BA185" s="245"/>
      <c r="BB185" s="245"/>
      <c r="BC185" s="245"/>
      <c r="BD185" s="245"/>
      <c r="BE185" s="245"/>
      <c r="BF185" s="245"/>
      <c r="BG185" s="245"/>
      <c r="BH185" s="245"/>
      <c r="BI185" s="245"/>
      <c r="BJ185" s="245"/>
      <c r="BK185" s="245"/>
      <c r="BL185" s="245"/>
      <c r="BM185" s="245"/>
      <c r="BN185" s="245"/>
      <c r="BO185" s="245"/>
      <c r="BP185" s="245"/>
      <c r="BQ185" s="245"/>
      <c r="BR185" s="245"/>
      <c r="BS185" s="245"/>
      <c r="BT185" s="245"/>
      <c r="BU185" s="245"/>
      <c r="BV185" s="245"/>
      <c r="BW185" s="245"/>
      <c r="BX185" s="245"/>
      <c r="BY185" s="245"/>
      <c r="BZ185" s="245"/>
      <c r="CA185" s="245"/>
      <c r="CB185" s="245"/>
      <c r="CC185" s="245"/>
      <c r="CD185" s="245"/>
      <c r="CE185" s="245"/>
      <c r="CF185" s="245"/>
      <c r="CG185" s="245"/>
      <c r="CH185" s="245"/>
      <c r="CI185" s="245"/>
      <c r="CJ185" s="245"/>
      <c r="CK185" s="245"/>
      <c r="CL185" s="245"/>
    </row>
    <row r="186" spans="1:90" s="245" customFormat="1" ht="63.75">
      <c r="A186" s="239">
        <v>184</v>
      </c>
      <c r="B186" s="247" t="s">
        <v>1208</v>
      </c>
      <c r="C186" s="400">
        <v>43826</v>
      </c>
      <c r="D186" s="247" t="s">
        <v>1206</v>
      </c>
      <c r="E186" s="401" t="s">
        <v>518</v>
      </c>
      <c r="F186" s="402" t="s">
        <v>1210</v>
      </c>
      <c r="G186" s="403" t="s">
        <v>544</v>
      </c>
      <c r="H186" s="405">
        <v>21300</v>
      </c>
      <c r="I186" s="247" t="s">
        <v>1207</v>
      </c>
    </row>
    <row r="187" spans="1:90" s="245" customFormat="1" ht="63.75">
      <c r="A187" s="239">
        <v>185</v>
      </c>
      <c r="B187" s="247" t="s">
        <v>1208</v>
      </c>
      <c r="C187" s="400">
        <v>43826</v>
      </c>
      <c r="D187" s="247" t="s">
        <v>1206</v>
      </c>
      <c r="E187" s="401" t="s">
        <v>518</v>
      </c>
      <c r="F187" s="402" t="s">
        <v>1211</v>
      </c>
      <c r="G187" s="403" t="s">
        <v>544</v>
      </c>
      <c r="H187" s="405">
        <v>21300</v>
      </c>
      <c r="I187" s="247" t="s">
        <v>1207</v>
      </c>
    </row>
    <row r="188" spans="1:90" s="245" customFormat="1" ht="63.75">
      <c r="A188" s="239">
        <v>186</v>
      </c>
      <c r="B188" s="247" t="s">
        <v>1208</v>
      </c>
      <c r="C188" s="400">
        <v>43826</v>
      </c>
      <c r="D188" s="247" t="s">
        <v>1206</v>
      </c>
      <c r="E188" s="401" t="s">
        <v>518</v>
      </c>
      <c r="F188" s="402" t="s">
        <v>1212</v>
      </c>
      <c r="G188" s="403" t="s">
        <v>544</v>
      </c>
      <c r="H188" s="405">
        <v>21300</v>
      </c>
      <c r="I188" s="247" t="s">
        <v>1207</v>
      </c>
    </row>
    <row r="189" spans="1:90" s="245" customFormat="1" ht="63.75">
      <c r="A189" s="239">
        <v>187</v>
      </c>
      <c r="B189" s="247" t="s">
        <v>1208</v>
      </c>
      <c r="C189" s="400">
        <v>43826</v>
      </c>
      <c r="D189" s="247" t="s">
        <v>1206</v>
      </c>
      <c r="E189" s="401" t="s">
        <v>518</v>
      </c>
      <c r="F189" s="402" t="s">
        <v>1220</v>
      </c>
      <c r="G189" s="403" t="s">
        <v>544</v>
      </c>
      <c r="H189" s="405">
        <v>21300</v>
      </c>
      <c r="I189" s="247" t="s">
        <v>1207</v>
      </c>
    </row>
    <row r="190" spans="1:90" s="245" customFormat="1" ht="63.75">
      <c r="A190" s="239">
        <v>188</v>
      </c>
      <c r="B190" s="247" t="s">
        <v>1208</v>
      </c>
      <c r="C190" s="400">
        <v>43826</v>
      </c>
      <c r="D190" s="247" t="s">
        <v>1206</v>
      </c>
      <c r="E190" s="401" t="s">
        <v>518</v>
      </c>
      <c r="F190" s="402" t="s">
        <v>1214</v>
      </c>
      <c r="G190" s="403" t="s">
        <v>544</v>
      </c>
      <c r="H190" s="405">
        <v>21300</v>
      </c>
      <c r="I190" s="247" t="s">
        <v>1207</v>
      </c>
    </row>
    <row r="191" spans="1:90" s="245" customFormat="1" ht="63.75">
      <c r="A191" s="239">
        <v>189</v>
      </c>
      <c r="B191" s="247" t="s">
        <v>1208</v>
      </c>
      <c r="C191" s="400">
        <v>43826</v>
      </c>
      <c r="D191" s="247" t="s">
        <v>1206</v>
      </c>
      <c r="E191" s="401" t="s">
        <v>518</v>
      </c>
      <c r="F191" s="402" t="s">
        <v>1215</v>
      </c>
      <c r="G191" s="403" t="s">
        <v>544</v>
      </c>
      <c r="H191" s="405">
        <v>21300</v>
      </c>
      <c r="I191" s="247" t="s">
        <v>1207</v>
      </c>
    </row>
    <row r="192" spans="1:90" s="245" customFormat="1" ht="63.75">
      <c r="A192" s="239">
        <v>190</v>
      </c>
      <c r="B192" s="247" t="s">
        <v>1229</v>
      </c>
      <c r="C192" s="400">
        <v>43830</v>
      </c>
      <c r="D192" s="247" t="s">
        <v>1230</v>
      </c>
      <c r="E192" s="401" t="s">
        <v>518</v>
      </c>
      <c r="F192" s="402" t="s">
        <v>1213</v>
      </c>
      <c r="G192" s="403" t="s">
        <v>544</v>
      </c>
      <c r="H192" s="405">
        <v>21300</v>
      </c>
      <c r="I192" s="247" t="s">
        <v>1209</v>
      </c>
    </row>
    <row r="193" spans="1:9" s="245" customFormat="1" ht="63.75">
      <c r="A193" s="239">
        <v>191</v>
      </c>
      <c r="B193" s="247" t="s">
        <v>1229</v>
      </c>
      <c r="C193" s="400">
        <v>43830</v>
      </c>
      <c r="D193" s="247" t="s">
        <v>1230</v>
      </c>
      <c r="E193" s="401" t="s">
        <v>518</v>
      </c>
      <c r="F193" s="402" t="s">
        <v>1216</v>
      </c>
      <c r="G193" s="403" t="s">
        <v>544</v>
      </c>
      <c r="H193" s="405">
        <v>21300</v>
      </c>
      <c r="I193" s="247" t="s">
        <v>1209</v>
      </c>
    </row>
    <row r="194" spans="1:9" s="245" customFormat="1" ht="63.75">
      <c r="A194" s="239">
        <v>192</v>
      </c>
      <c r="B194" s="247" t="s">
        <v>1229</v>
      </c>
      <c r="C194" s="400">
        <v>43830</v>
      </c>
      <c r="D194" s="247" t="s">
        <v>1230</v>
      </c>
      <c r="E194" s="401" t="s">
        <v>518</v>
      </c>
      <c r="F194" s="402" t="s">
        <v>1217</v>
      </c>
      <c r="G194" s="403" t="s">
        <v>544</v>
      </c>
      <c r="H194" s="405">
        <v>21300</v>
      </c>
      <c r="I194" s="247" t="s">
        <v>1209</v>
      </c>
    </row>
    <row r="195" spans="1:9" s="245" customFormat="1" ht="63.75">
      <c r="A195" s="239">
        <v>193</v>
      </c>
      <c r="B195" s="247" t="s">
        <v>1229</v>
      </c>
      <c r="C195" s="400">
        <v>43830</v>
      </c>
      <c r="D195" s="247" t="s">
        <v>1230</v>
      </c>
      <c r="E195" s="401" t="s">
        <v>518</v>
      </c>
      <c r="F195" s="402" t="s">
        <v>1218</v>
      </c>
      <c r="G195" s="403" t="s">
        <v>544</v>
      </c>
      <c r="H195" s="405">
        <v>21300</v>
      </c>
      <c r="I195" s="247" t="s">
        <v>1209</v>
      </c>
    </row>
    <row r="196" spans="1:9" s="245" customFormat="1" ht="63.75">
      <c r="A196" s="239">
        <v>194</v>
      </c>
      <c r="B196" s="247" t="s">
        <v>1229</v>
      </c>
      <c r="C196" s="400">
        <v>43830</v>
      </c>
      <c r="D196" s="247" t="s">
        <v>1230</v>
      </c>
      <c r="E196" s="401" t="s">
        <v>518</v>
      </c>
      <c r="F196" s="402" t="s">
        <v>1219</v>
      </c>
      <c r="G196" s="403" t="s">
        <v>544</v>
      </c>
      <c r="H196" s="405">
        <v>21300</v>
      </c>
      <c r="I196" s="247" t="s">
        <v>1209</v>
      </c>
    </row>
    <row r="197" spans="1:9" s="245" customFormat="1" ht="63.75">
      <c r="A197" s="239">
        <v>195</v>
      </c>
      <c r="B197" s="247" t="s">
        <v>1231</v>
      </c>
      <c r="C197" s="400">
        <v>43837</v>
      </c>
      <c r="D197" s="247" t="s">
        <v>1232</v>
      </c>
      <c r="E197" s="401" t="s">
        <v>518</v>
      </c>
      <c r="F197" s="402" t="s">
        <v>1221</v>
      </c>
      <c r="G197" s="403" t="s">
        <v>544</v>
      </c>
      <c r="H197" s="405">
        <v>21300</v>
      </c>
      <c r="I197" s="247" t="s">
        <v>1227</v>
      </c>
    </row>
    <row r="198" spans="1:9" s="245" customFormat="1" ht="63.75">
      <c r="A198" s="239">
        <v>196</v>
      </c>
      <c r="B198" s="247" t="s">
        <v>1231</v>
      </c>
      <c r="C198" s="400">
        <v>43837</v>
      </c>
      <c r="D198" s="247" t="s">
        <v>1232</v>
      </c>
      <c r="E198" s="401" t="s">
        <v>518</v>
      </c>
      <c r="F198" s="402" t="s">
        <v>1222</v>
      </c>
      <c r="G198" s="403" t="s">
        <v>544</v>
      </c>
      <c r="H198" s="405">
        <v>21300</v>
      </c>
      <c r="I198" s="247" t="s">
        <v>1227</v>
      </c>
    </row>
    <row r="199" spans="1:9" s="245" customFormat="1" ht="63.75">
      <c r="A199" s="239">
        <v>197</v>
      </c>
      <c r="B199" s="247" t="s">
        <v>1231</v>
      </c>
      <c r="C199" s="400">
        <v>43837</v>
      </c>
      <c r="D199" s="247" t="s">
        <v>1232</v>
      </c>
      <c r="E199" s="401" t="s">
        <v>518</v>
      </c>
      <c r="F199" s="402" t="s">
        <v>1223</v>
      </c>
      <c r="G199" s="403" t="s">
        <v>544</v>
      </c>
      <c r="H199" s="405">
        <v>21300</v>
      </c>
      <c r="I199" s="247" t="s">
        <v>1227</v>
      </c>
    </row>
    <row r="200" spans="1:9" s="245" customFormat="1" ht="63.75">
      <c r="A200" s="239">
        <v>198</v>
      </c>
      <c r="B200" s="247" t="s">
        <v>1231</v>
      </c>
      <c r="C200" s="400">
        <v>43837</v>
      </c>
      <c r="D200" s="247" t="s">
        <v>1232</v>
      </c>
      <c r="E200" s="401" t="s">
        <v>518</v>
      </c>
      <c r="F200" s="402" t="s">
        <v>1224</v>
      </c>
      <c r="G200" s="403" t="s">
        <v>544</v>
      </c>
      <c r="H200" s="405">
        <v>21300</v>
      </c>
      <c r="I200" s="247" t="s">
        <v>1227</v>
      </c>
    </row>
    <row r="201" spans="1:9" s="245" customFormat="1" ht="63.75">
      <c r="A201" s="239">
        <v>199</v>
      </c>
      <c r="B201" s="247" t="s">
        <v>1231</v>
      </c>
      <c r="C201" s="400">
        <v>43837</v>
      </c>
      <c r="D201" s="247" t="s">
        <v>1232</v>
      </c>
      <c r="E201" s="401" t="s">
        <v>518</v>
      </c>
      <c r="F201" s="402" t="s">
        <v>1225</v>
      </c>
      <c r="G201" s="403" t="s">
        <v>544</v>
      </c>
      <c r="H201" s="405">
        <v>21300</v>
      </c>
      <c r="I201" s="247" t="s">
        <v>1227</v>
      </c>
    </row>
    <row r="202" spans="1:9" s="245" customFormat="1" ht="63.75">
      <c r="A202" s="239">
        <v>200</v>
      </c>
      <c r="B202" s="247" t="s">
        <v>1231</v>
      </c>
      <c r="C202" s="400">
        <v>43837</v>
      </c>
      <c r="D202" s="247" t="s">
        <v>1232</v>
      </c>
      <c r="E202" s="401" t="s">
        <v>518</v>
      </c>
      <c r="F202" s="402" t="s">
        <v>1226</v>
      </c>
      <c r="G202" s="403" t="s">
        <v>544</v>
      </c>
      <c r="H202" s="405">
        <v>21300</v>
      </c>
      <c r="I202" s="247" t="s">
        <v>1227</v>
      </c>
    </row>
    <row r="203" spans="1:9" s="245" customFormat="1" ht="63.75">
      <c r="A203" s="239">
        <v>201</v>
      </c>
      <c r="B203" s="247" t="s">
        <v>1395</v>
      </c>
      <c r="C203" s="400">
        <v>44180</v>
      </c>
      <c r="D203" s="412" t="s">
        <v>1394</v>
      </c>
      <c r="E203" s="401" t="s">
        <v>518</v>
      </c>
      <c r="F203" s="402" t="s">
        <v>1252</v>
      </c>
      <c r="G203" s="403" t="s">
        <v>544</v>
      </c>
      <c r="H203" s="405">
        <v>21300</v>
      </c>
      <c r="I203" s="247" t="s">
        <v>1253</v>
      </c>
    </row>
    <row r="204" spans="1:9" s="245" customFormat="1" ht="63.75">
      <c r="A204" s="239">
        <v>202</v>
      </c>
      <c r="B204" s="247" t="s">
        <v>1395</v>
      </c>
      <c r="C204" s="400">
        <v>44180</v>
      </c>
      <c r="D204" s="412" t="s">
        <v>1394</v>
      </c>
      <c r="E204" s="401" t="s">
        <v>518</v>
      </c>
      <c r="F204" s="402" t="s">
        <v>1302</v>
      </c>
      <c r="G204" s="403" t="s">
        <v>544</v>
      </c>
      <c r="H204" s="405">
        <v>21300</v>
      </c>
      <c r="I204" s="247" t="s">
        <v>1307</v>
      </c>
    </row>
    <row r="205" spans="1:9" s="245" customFormat="1" ht="63.75">
      <c r="A205" s="239">
        <v>203</v>
      </c>
      <c r="B205" s="247" t="s">
        <v>1395</v>
      </c>
      <c r="C205" s="400">
        <v>44180</v>
      </c>
      <c r="D205" s="412" t="s">
        <v>1394</v>
      </c>
      <c r="E205" s="401" t="s">
        <v>518</v>
      </c>
      <c r="F205" s="402" t="s">
        <v>1303</v>
      </c>
      <c r="G205" s="403" t="s">
        <v>544</v>
      </c>
      <c r="H205" s="405">
        <v>21300</v>
      </c>
      <c r="I205" s="247" t="s">
        <v>1307</v>
      </c>
    </row>
    <row r="206" spans="1:9" s="245" customFormat="1" ht="63.75">
      <c r="A206" s="239">
        <v>204</v>
      </c>
      <c r="B206" s="247" t="s">
        <v>1395</v>
      </c>
      <c r="C206" s="400">
        <v>44180</v>
      </c>
      <c r="D206" s="412" t="s">
        <v>1394</v>
      </c>
      <c r="E206" s="401" t="s">
        <v>518</v>
      </c>
      <c r="F206" s="402" t="s">
        <v>1304</v>
      </c>
      <c r="G206" s="403" t="s">
        <v>544</v>
      </c>
      <c r="H206" s="405">
        <v>21300</v>
      </c>
      <c r="I206" s="247" t="s">
        <v>1307</v>
      </c>
    </row>
    <row r="207" spans="1:9" s="245" customFormat="1" ht="63.75">
      <c r="A207" s="239">
        <v>205</v>
      </c>
      <c r="B207" s="247" t="s">
        <v>1395</v>
      </c>
      <c r="C207" s="400">
        <v>44180</v>
      </c>
      <c r="D207" s="412" t="s">
        <v>1394</v>
      </c>
      <c r="E207" s="401" t="s">
        <v>518</v>
      </c>
      <c r="F207" s="402" t="s">
        <v>1305</v>
      </c>
      <c r="G207" s="403" t="s">
        <v>544</v>
      </c>
      <c r="H207" s="405">
        <v>21300</v>
      </c>
      <c r="I207" s="247" t="s">
        <v>1307</v>
      </c>
    </row>
    <row r="208" spans="1:9" s="245" customFormat="1" ht="63.75">
      <c r="A208" s="239">
        <v>206</v>
      </c>
      <c r="B208" s="247" t="s">
        <v>1395</v>
      </c>
      <c r="C208" s="400">
        <v>44180</v>
      </c>
      <c r="D208" s="412" t="s">
        <v>1394</v>
      </c>
      <c r="E208" s="401" t="s">
        <v>518</v>
      </c>
      <c r="F208" s="402" t="s">
        <v>1306</v>
      </c>
      <c r="G208" s="403" t="s">
        <v>544</v>
      </c>
      <c r="H208" s="405">
        <v>21300</v>
      </c>
      <c r="I208" s="247" t="s">
        <v>1307</v>
      </c>
    </row>
    <row r="209" spans="1:9" s="245" customFormat="1" ht="63.75">
      <c r="A209" s="239">
        <v>207</v>
      </c>
      <c r="B209" s="247" t="s">
        <v>1399</v>
      </c>
      <c r="C209" s="400">
        <v>44202</v>
      </c>
      <c r="D209" s="412" t="s">
        <v>1400</v>
      </c>
      <c r="E209" s="401" t="s">
        <v>518</v>
      </c>
      <c r="F209" s="402" t="s">
        <v>1314</v>
      </c>
      <c r="G209" s="403" t="s">
        <v>544</v>
      </c>
      <c r="H209" s="405">
        <v>21300</v>
      </c>
      <c r="I209" s="247" t="s">
        <v>1313</v>
      </c>
    </row>
    <row r="210" spans="1:9" s="245" customFormat="1" ht="63.75">
      <c r="A210" s="239">
        <v>208</v>
      </c>
      <c r="B210" s="247" t="s">
        <v>1399</v>
      </c>
      <c r="C210" s="400">
        <v>44202</v>
      </c>
      <c r="D210" s="412" t="s">
        <v>1400</v>
      </c>
      <c r="E210" s="401" t="s">
        <v>518</v>
      </c>
      <c r="F210" s="402" t="s">
        <v>1315</v>
      </c>
      <c r="G210" s="403" t="s">
        <v>544</v>
      </c>
      <c r="H210" s="405">
        <v>21300</v>
      </c>
      <c r="I210" s="247" t="s">
        <v>1313</v>
      </c>
    </row>
    <row r="211" spans="1:9" s="245" customFormat="1" ht="63.75">
      <c r="A211" s="239">
        <v>209</v>
      </c>
      <c r="B211" s="247" t="s">
        <v>1399</v>
      </c>
      <c r="C211" s="400">
        <v>44202</v>
      </c>
      <c r="D211" s="412" t="s">
        <v>1400</v>
      </c>
      <c r="E211" s="401" t="s">
        <v>518</v>
      </c>
      <c r="F211" s="402" t="s">
        <v>1316</v>
      </c>
      <c r="G211" s="403" t="s">
        <v>544</v>
      </c>
      <c r="H211" s="405">
        <v>21300</v>
      </c>
      <c r="I211" s="247" t="s">
        <v>1313</v>
      </c>
    </row>
    <row r="212" spans="1:9" s="245" customFormat="1" ht="63.75">
      <c r="A212" s="239">
        <v>210</v>
      </c>
      <c r="B212" s="247" t="s">
        <v>1399</v>
      </c>
      <c r="C212" s="400">
        <v>44202</v>
      </c>
      <c r="D212" s="412" t="s">
        <v>1400</v>
      </c>
      <c r="E212" s="401" t="s">
        <v>518</v>
      </c>
      <c r="F212" s="402" t="s">
        <v>1317</v>
      </c>
      <c r="G212" s="403" t="s">
        <v>544</v>
      </c>
      <c r="H212" s="405">
        <v>21300</v>
      </c>
      <c r="I212" s="247" t="s">
        <v>1313</v>
      </c>
    </row>
    <row r="213" spans="1:9" s="245" customFormat="1" ht="63.75">
      <c r="A213" s="239">
        <v>211</v>
      </c>
      <c r="B213" s="247" t="s">
        <v>1399</v>
      </c>
      <c r="C213" s="400">
        <v>44202</v>
      </c>
      <c r="D213" s="412" t="s">
        <v>1400</v>
      </c>
      <c r="E213" s="401" t="s">
        <v>518</v>
      </c>
      <c r="F213" s="402" t="s">
        <v>1318</v>
      </c>
      <c r="G213" s="403" t="s">
        <v>544</v>
      </c>
      <c r="H213" s="405">
        <v>21300</v>
      </c>
      <c r="I213" s="247" t="s">
        <v>1313</v>
      </c>
    </row>
    <row r="214" spans="1:9" s="245" customFormat="1" ht="63.75">
      <c r="A214" s="239">
        <v>212</v>
      </c>
      <c r="B214" s="247" t="s">
        <v>1395</v>
      </c>
      <c r="C214" s="400">
        <v>44180</v>
      </c>
      <c r="D214" s="412" t="s">
        <v>1394</v>
      </c>
      <c r="E214" s="401" t="s">
        <v>518</v>
      </c>
      <c r="F214" s="402" t="s">
        <v>1332</v>
      </c>
      <c r="G214" s="403" t="s">
        <v>544</v>
      </c>
      <c r="H214" s="405">
        <v>21300</v>
      </c>
      <c r="I214" s="247" t="s">
        <v>1336</v>
      </c>
    </row>
    <row r="215" spans="1:9" s="245" customFormat="1" ht="63.75">
      <c r="A215" s="239">
        <v>213</v>
      </c>
      <c r="B215" s="247" t="s">
        <v>1395</v>
      </c>
      <c r="C215" s="400">
        <v>44180</v>
      </c>
      <c r="D215" s="412" t="s">
        <v>1394</v>
      </c>
      <c r="E215" s="401" t="s">
        <v>518</v>
      </c>
      <c r="F215" s="402" t="s">
        <v>1333</v>
      </c>
      <c r="G215" s="403" t="s">
        <v>544</v>
      </c>
      <c r="H215" s="405">
        <v>21300</v>
      </c>
      <c r="I215" s="247" t="s">
        <v>1336</v>
      </c>
    </row>
    <row r="216" spans="1:9" s="245" customFormat="1" ht="63.75">
      <c r="A216" s="239">
        <v>214</v>
      </c>
      <c r="B216" s="247" t="s">
        <v>1395</v>
      </c>
      <c r="C216" s="400">
        <v>44180</v>
      </c>
      <c r="D216" s="412" t="s">
        <v>1394</v>
      </c>
      <c r="E216" s="401" t="s">
        <v>518</v>
      </c>
      <c r="F216" s="402" t="s">
        <v>1334</v>
      </c>
      <c r="G216" s="403" t="s">
        <v>544</v>
      </c>
      <c r="H216" s="405">
        <v>21300</v>
      </c>
      <c r="I216" s="247" t="s">
        <v>1336</v>
      </c>
    </row>
    <row r="217" spans="1:9" s="245" customFormat="1" ht="63.75">
      <c r="A217" s="239">
        <v>215</v>
      </c>
      <c r="B217" s="247" t="s">
        <v>1395</v>
      </c>
      <c r="C217" s="400">
        <v>44180</v>
      </c>
      <c r="D217" s="412" t="s">
        <v>1394</v>
      </c>
      <c r="E217" s="401" t="s">
        <v>518</v>
      </c>
      <c r="F217" s="402" t="s">
        <v>1335</v>
      </c>
      <c r="G217" s="403" t="s">
        <v>544</v>
      </c>
      <c r="H217" s="405">
        <v>21300</v>
      </c>
      <c r="I217" s="247" t="s">
        <v>1336</v>
      </c>
    </row>
    <row r="218" spans="1:9" s="245" customFormat="1" ht="63.75">
      <c r="A218" s="239">
        <v>216</v>
      </c>
      <c r="B218" s="247" t="s">
        <v>1395</v>
      </c>
      <c r="C218" s="400">
        <v>44180</v>
      </c>
      <c r="D218" s="412" t="s">
        <v>1394</v>
      </c>
      <c r="E218" s="401" t="s">
        <v>518</v>
      </c>
      <c r="F218" s="402" t="s">
        <v>1338</v>
      </c>
      <c r="G218" s="403" t="s">
        <v>544</v>
      </c>
      <c r="H218" s="405">
        <v>21300</v>
      </c>
      <c r="I218" s="247" t="s">
        <v>1337</v>
      </c>
    </row>
    <row r="219" spans="1:9" s="245" customFormat="1" ht="63.75">
      <c r="A219" s="239">
        <v>217</v>
      </c>
      <c r="B219" s="247" t="s">
        <v>1395</v>
      </c>
      <c r="C219" s="400">
        <v>44180</v>
      </c>
      <c r="D219" s="412" t="s">
        <v>1394</v>
      </c>
      <c r="E219" s="401" t="s">
        <v>518</v>
      </c>
      <c r="F219" s="402" t="s">
        <v>1339</v>
      </c>
      <c r="G219" s="403" t="s">
        <v>544</v>
      </c>
      <c r="H219" s="405">
        <v>21300</v>
      </c>
      <c r="I219" s="247" t="s">
        <v>1337</v>
      </c>
    </row>
    <row r="220" spans="1:9" s="245" customFormat="1" ht="63.75">
      <c r="A220" s="239">
        <v>218</v>
      </c>
      <c r="B220" s="247" t="s">
        <v>1395</v>
      </c>
      <c r="C220" s="400">
        <v>44180</v>
      </c>
      <c r="D220" s="412" t="s">
        <v>1394</v>
      </c>
      <c r="E220" s="401" t="s">
        <v>518</v>
      </c>
      <c r="F220" s="402" t="s">
        <v>1340</v>
      </c>
      <c r="G220" s="403" t="s">
        <v>544</v>
      </c>
      <c r="H220" s="405">
        <v>21300</v>
      </c>
      <c r="I220" s="247" t="s">
        <v>1337</v>
      </c>
    </row>
    <row r="221" spans="1:9" s="245" customFormat="1" ht="63.75">
      <c r="A221" s="239">
        <v>219</v>
      </c>
      <c r="B221" s="247" t="s">
        <v>1395</v>
      </c>
      <c r="C221" s="400">
        <v>44180</v>
      </c>
      <c r="D221" s="412" t="s">
        <v>1394</v>
      </c>
      <c r="E221" s="401" t="s">
        <v>518</v>
      </c>
      <c r="F221" s="402" t="s">
        <v>1341</v>
      </c>
      <c r="G221" s="403" t="s">
        <v>544</v>
      </c>
      <c r="H221" s="405">
        <v>21300</v>
      </c>
      <c r="I221" s="247" t="s">
        <v>1337</v>
      </c>
    </row>
    <row r="222" spans="1:9" s="245" customFormat="1" ht="63.75">
      <c r="A222" s="239">
        <v>220</v>
      </c>
      <c r="B222" s="247" t="s">
        <v>1395</v>
      </c>
      <c r="C222" s="400">
        <v>44180</v>
      </c>
      <c r="D222" s="412" t="s">
        <v>1394</v>
      </c>
      <c r="E222" s="401" t="s">
        <v>518</v>
      </c>
      <c r="F222" s="402" t="s">
        <v>1342</v>
      </c>
      <c r="G222" s="403" t="s">
        <v>544</v>
      </c>
      <c r="H222" s="405">
        <v>21300</v>
      </c>
      <c r="I222" s="247" t="s">
        <v>1344</v>
      </c>
    </row>
    <row r="223" spans="1:9" s="245" customFormat="1" ht="63.75">
      <c r="A223" s="239">
        <v>221</v>
      </c>
      <c r="B223" s="247" t="s">
        <v>1395</v>
      </c>
      <c r="C223" s="400">
        <v>44180</v>
      </c>
      <c r="D223" s="412" t="s">
        <v>1394</v>
      </c>
      <c r="E223" s="401" t="s">
        <v>518</v>
      </c>
      <c r="F223" s="402" t="s">
        <v>1343</v>
      </c>
      <c r="G223" s="403" t="s">
        <v>544</v>
      </c>
      <c r="H223" s="405">
        <v>21300</v>
      </c>
      <c r="I223" s="247" t="s">
        <v>1344</v>
      </c>
    </row>
    <row r="224" spans="1:9" s="245" customFormat="1" ht="63.75">
      <c r="A224" s="239">
        <v>222</v>
      </c>
      <c r="B224" s="247" t="s">
        <v>1399</v>
      </c>
      <c r="C224" s="400">
        <v>44202</v>
      </c>
      <c r="D224" s="412" t="s">
        <v>1400</v>
      </c>
      <c r="E224" s="401" t="s">
        <v>518</v>
      </c>
      <c r="F224" s="402" t="s">
        <v>1356</v>
      </c>
      <c r="G224" s="403" t="s">
        <v>544</v>
      </c>
      <c r="H224" s="405">
        <v>21300</v>
      </c>
      <c r="I224" s="247" t="s">
        <v>1360</v>
      </c>
    </row>
    <row r="225" spans="1:11" s="245" customFormat="1" ht="63.75">
      <c r="A225" s="239">
        <v>223</v>
      </c>
      <c r="B225" s="247" t="s">
        <v>1399</v>
      </c>
      <c r="C225" s="400">
        <v>44202</v>
      </c>
      <c r="D225" s="412" t="s">
        <v>1400</v>
      </c>
      <c r="E225" s="401" t="s">
        <v>518</v>
      </c>
      <c r="F225" s="402" t="s">
        <v>1357</v>
      </c>
      <c r="G225" s="403" t="s">
        <v>544</v>
      </c>
      <c r="H225" s="405">
        <v>21300</v>
      </c>
      <c r="I225" s="247" t="s">
        <v>1360</v>
      </c>
    </row>
    <row r="226" spans="1:11" s="245" customFormat="1" ht="63.75">
      <c r="A226" s="239">
        <v>224</v>
      </c>
      <c r="B226" s="247" t="s">
        <v>1399</v>
      </c>
      <c r="C226" s="400">
        <v>44202</v>
      </c>
      <c r="D226" s="412" t="s">
        <v>1400</v>
      </c>
      <c r="E226" s="401" t="s">
        <v>518</v>
      </c>
      <c r="F226" s="402" t="s">
        <v>1358</v>
      </c>
      <c r="G226" s="403" t="s">
        <v>544</v>
      </c>
      <c r="H226" s="405">
        <v>21300</v>
      </c>
      <c r="I226" s="247" t="s">
        <v>1360</v>
      </c>
    </row>
    <row r="227" spans="1:11" s="245" customFormat="1" ht="63.75">
      <c r="A227" s="239">
        <v>225</v>
      </c>
      <c r="B227" s="247" t="s">
        <v>1399</v>
      </c>
      <c r="C227" s="400">
        <v>44202</v>
      </c>
      <c r="D227" s="412" t="s">
        <v>1400</v>
      </c>
      <c r="E227" s="401" t="s">
        <v>518</v>
      </c>
      <c r="F227" s="402" t="s">
        <v>1359</v>
      </c>
      <c r="G227" s="403" t="s">
        <v>544</v>
      </c>
      <c r="H227" s="405">
        <v>21300</v>
      </c>
      <c r="I227" s="247" t="s">
        <v>1360</v>
      </c>
    </row>
    <row r="228" spans="1:11" s="245" customFormat="1" ht="63.75">
      <c r="A228" s="239">
        <v>226</v>
      </c>
      <c r="B228" s="247" t="s">
        <v>1399</v>
      </c>
      <c r="C228" s="400">
        <v>44202</v>
      </c>
      <c r="D228" s="412" t="s">
        <v>1400</v>
      </c>
      <c r="E228" s="401" t="s">
        <v>518</v>
      </c>
      <c r="F228" s="402" t="s">
        <v>1361</v>
      </c>
      <c r="G228" s="403" t="s">
        <v>544</v>
      </c>
      <c r="H228" s="405">
        <v>21300</v>
      </c>
      <c r="I228" s="247" t="s">
        <v>1365</v>
      </c>
    </row>
    <row r="229" spans="1:11" s="245" customFormat="1" ht="63.75">
      <c r="A229" s="239">
        <v>227</v>
      </c>
      <c r="B229" s="247" t="s">
        <v>1399</v>
      </c>
      <c r="C229" s="400">
        <v>44202</v>
      </c>
      <c r="D229" s="412" t="s">
        <v>1400</v>
      </c>
      <c r="E229" s="401" t="s">
        <v>518</v>
      </c>
      <c r="F229" s="402" t="s">
        <v>1362</v>
      </c>
      <c r="G229" s="403" t="s">
        <v>544</v>
      </c>
      <c r="H229" s="405">
        <v>21300</v>
      </c>
      <c r="I229" s="247" t="s">
        <v>1365</v>
      </c>
    </row>
    <row r="230" spans="1:11" s="245" customFormat="1" ht="63.75">
      <c r="A230" s="239">
        <v>228</v>
      </c>
      <c r="B230" s="247" t="s">
        <v>1399</v>
      </c>
      <c r="C230" s="400">
        <v>44202</v>
      </c>
      <c r="D230" s="412" t="s">
        <v>1400</v>
      </c>
      <c r="E230" s="401" t="s">
        <v>518</v>
      </c>
      <c r="F230" s="402" t="s">
        <v>1363</v>
      </c>
      <c r="G230" s="403" t="s">
        <v>544</v>
      </c>
      <c r="H230" s="405">
        <v>21300</v>
      </c>
      <c r="I230" s="247" t="s">
        <v>1365</v>
      </c>
    </row>
    <row r="231" spans="1:11" s="245" customFormat="1" ht="63.75">
      <c r="A231" s="239">
        <v>229</v>
      </c>
      <c r="B231" s="247" t="s">
        <v>1399</v>
      </c>
      <c r="C231" s="400">
        <v>44202</v>
      </c>
      <c r="D231" s="412" t="s">
        <v>1400</v>
      </c>
      <c r="E231" s="401" t="s">
        <v>518</v>
      </c>
      <c r="F231" s="402" t="s">
        <v>1364</v>
      </c>
      <c r="G231" s="403" t="s">
        <v>544</v>
      </c>
      <c r="H231" s="405">
        <v>21300</v>
      </c>
      <c r="I231" s="247" t="s">
        <v>1365</v>
      </c>
    </row>
    <row r="232" spans="1:11" s="245" customFormat="1" ht="63.75">
      <c r="A232" s="239">
        <v>230</v>
      </c>
      <c r="B232" s="247" t="s">
        <v>1399</v>
      </c>
      <c r="C232" s="400">
        <v>44202</v>
      </c>
      <c r="D232" s="412" t="s">
        <v>1400</v>
      </c>
      <c r="E232" s="401" t="s">
        <v>518</v>
      </c>
      <c r="F232" s="402" t="s">
        <v>1366</v>
      </c>
      <c r="G232" s="403" t="s">
        <v>544</v>
      </c>
      <c r="H232" s="405">
        <v>21300</v>
      </c>
      <c r="I232" s="247" t="s">
        <v>1370</v>
      </c>
    </row>
    <row r="233" spans="1:11" s="245" customFormat="1" ht="63.75">
      <c r="A233" s="239">
        <v>231</v>
      </c>
      <c r="B233" s="247" t="s">
        <v>1399</v>
      </c>
      <c r="C233" s="400">
        <v>44202</v>
      </c>
      <c r="D233" s="412" t="s">
        <v>1400</v>
      </c>
      <c r="E233" s="401" t="s">
        <v>518</v>
      </c>
      <c r="F233" s="402" t="s">
        <v>1367</v>
      </c>
      <c r="G233" s="403" t="s">
        <v>544</v>
      </c>
      <c r="H233" s="405">
        <v>21300</v>
      </c>
      <c r="I233" s="247" t="s">
        <v>1370</v>
      </c>
    </row>
    <row r="234" spans="1:11" s="245" customFormat="1" ht="63.75">
      <c r="A234" s="239">
        <v>232</v>
      </c>
      <c r="B234" s="247" t="s">
        <v>1399</v>
      </c>
      <c r="C234" s="400">
        <v>44202</v>
      </c>
      <c r="D234" s="412" t="s">
        <v>1400</v>
      </c>
      <c r="E234" s="401" t="s">
        <v>518</v>
      </c>
      <c r="F234" s="402" t="s">
        <v>1368</v>
      </c>
      <c r="G234" s="403" t="s">
        <v>544</v>
      </c>
      <c r="H234" s="405">
        <v>21300</v>
      </c>
      <c r="I234" s="247" t="s">
        <v>1370</v>
      </c>
    </row>
    <row r="235" spans="1:11" s="245" customFormat="1" ht="63.75">
      <c r="A235" s="239">
        <v>233</v>
      </c>
      <c r="B235" s="247" t="s">
        <v>1399</v>
      </c>
      <c r="C235" s="400">
        <v>44202</v>
      </c>
      <c r="D235" s="412" t="s">
        <v>1400</v>
      </c>
      <c r="E235" s="401" t="s">
        <v>518</v>
      </c>
      <c r="F235" s="402" t="s">
        <v>1369</v>
      </c>
      <c r="G235" s="403" t="s">
        <v>544</v>
      </c>
      <c r="H235" s="405">
        <v>21300</v>
      </c>
      <c r="I235" s="247" t="s">
        <v>1370</v>
      </c>
    </row>
    <row r="236" spans="1:11" s="245" customFormat="1" ht="63.75">
      <c r="A236" s="239">
        <v>234</v>
      </c>
      <c r="B236" s="247" t="s">
        <v>1399</v>
      </c>
      <c r="C236" s="400">
        <v>44202</v>
      </c>
      <c r="D236" s="412" t="s">
        <v>1400</v>
      </c>
      <c r="E236" s="401" t="s">
        <v>518</v>
      </c>
      <c r="F236" s="402" t="s">
        <v>1371</v>
      </c>
      <c r="G236" s="403" t="s">
        <v>544</v>
      </c>
      <c r="H236" s="405">
        <v>21300</v>
      </c>
      <c r="I236" s="247" t="s">
        <v>1372</v>
      </c>
    </row>
    <row r="237" spans="1:11" s="245" customFormat="1" ht="63.75">
      <c r="A237" s="239">
        <v>235</v>
      </c>
      <c r="B237" s="247" t="s">
        <v>1483</v>
      </c>
      <c r="C237" s="400">
        <v>44266</v>
      </c>
      <c r="D237" s="412" t="s">
        <v>1482</v>
      </c>
      <c r="E237" s="401" t="s">
        <v>518</v>
      </c>
      <c r="F237" s="402" t="s">
        <v>1403</v>
      </c>
      <c r="G237" s="403" t="s">
        <v>1409</v>
      </c>
      <c r="H237" s="405">
        <v>21300</v>
      </c>
      <c r="I237" s="247" t="s">
        <v>1408</v>
      </c>
    </row>
    <row r="238" spans="1:11" s="245" customFormat="1" ht="63.75">
      <c r="A238" s="239">
        <v>236</v>
      </c>
      <c r="B238" s="247" t="s">
        <v>1483</v>
      </c>
      <c r="C238" s="400">
        <v>44266</v>
      </c>
      <c r="D238" s="412" t="s">
        <v>1482</v>
      </c>
      <c r="E238" s="401" t="s">
        <v>518</v>
      </c>
      <c r="F238" s="402" t="s">
        <v>1404</v>
      </c>
      <c r="G238" s="403" t="s">
        <v>1409</v>
      </c>
      <c r="H238" s="405">
        <v>21300</v>
      </c>
      <c r="I238" s="247" t="s">
        <v>1408</v>
      </c>
      <c r="K238" s="428"/>
    </row>
    <row r="239" spans="1:11" s="245" customFormat="1" ht="63.75">
      <c r="A239" s="239">
        <v>237</v>
      </c>
      <c r="B239" s="247" t="s">
        <v>1483</v>
      </c>
      <c r="C239" s="400">
        <v>44266</v>
      </c>
      <c r="D239" s="412" t="s">
        <v>1482</v>
      </c>
      <c r="E239" s="401" t="s">
        <v>518</v>
      </c>
      <c r="F239" s="402" t="s">
        <v>1405</v>
      </c>
      <c r="G239" s="403" t="s">
        <v>1409</v>
      </c>
      <c r="H239" s="405">
        <v>21300</v>
      </c>
      <c r="I239" s="247" t="s">
        <v>1408</v>
      </c>
    </row>
    <row r="240" spans="1:11" s="245" customFormat="1" ht="63.75">
      <c r="A240" s="239">
        <v>238</v>
      </c>
      <c r="B240" s="247" t="s">
        <v>1483</v>
      </c>
      <c r="C240" s="400">
        <v>44266</v>
      </c>
      <c r="D240" s="412" t="s">
        <v>1482</v>
      </c>
      <c r="E240" s="401" t="s">
        <v>518</v>
      </c>
      <c r="F240" s="402" t="s">
        <v>1406</v>
      </c>
      <c r="G240" s="403" t="s">
        <v>1409</v>
      </c>
      <c r="H240" s="405">
        <v>21300</v>
      </c>
      <c r="I240" s="247" t="s">
        <v>1408</v>
      </c>
    </row>
    <row r="241" spans="1:12" s="245" customFormat="1" ht="63.75">
      <c r="A241" s="239">
        <v>239</v>
      </c>
      <c r="B241" s="247" t="s">
        <v>1483</v>
      </c>
      <c r="C241" s="400">
        <v>44266</v>
      </c>
      <c r="D241" s="412" t="s">
        <v>1482</v>
      </c>
      <c r="E241" s="401" t="s">
        <v>518</v>
      </c>
      <c r="F241" s="402" t="s">
        <v>1407</v>
      </c>
      <c r="G241" s="403" t="s">
        <v>1409</v>
      </c>
      <c r="H241" s="405">
        <v>21300</v>
      </c>
      <c r="I241" s="247" t="s">
        <v>1408</v>
      </c>
    </row>
    <row r="242" spans="1:12" s="245" customFormat="1" ht="63.75">
      <c r="A242" s="239">
        <v>240</v>
      </c>
      <c r="B242" s="247" t="s">
        <v>1483</v>
      </c>
      <c r="C242" s="400">
        <v>44266</v>
      </c>
      <c r="D242" s="412" t="s">
        <v>1482</v>
      </c>
      <c r="E242" s="401" t="s">
        <v>518</v>
      </c>
      <c r="F242" s="402" t="s">
        <v>1411</v>
      </c>
      <c r="G242" s="403" t="s">
        <v>1409</v>
      </c>
      <c r="H242" s="405">
        <v>21300</v>
      </c>
      <c r="I242" s="247" t="s">
        <v>1410</v>
      </c>
    </row>
    <row r="243" spans="1:12" s="245" customFormat="1" ht="63.75">
      <c r="A243" s="239">
        <v>241</v>
      </c>
      <c r="B243" s="247" t="s">
        <v>1483</v>
      </c>
      <c r="C243" s="400">
        <v>44266</v>
      </c>
      <c r="D243" s="412" t="s">
        <v>1482</v>
      </c>
      <c r="E243" s="401" t="s">
        <v>518</v>
      </c>
      <c r="F243" s="402" t="s">
        <v>1412</v>
      </c>
      <c r="G243" s="403" t="s">
        <v>1409</v>
      </c>
      <c r="H243" s="405">
        <v>21300</v>
      </c>
      <c r="I243" s="247" t="s">
        <v>1410</v>
      </c>
    </row>
    <row r="244" spans="1:12" s="245" customFormat="1" ht="63.75">
      <c r="A244" s="239">
        <v>242</v>
      </c>
      <c r="B244" s="247" t="s">
        <v>1483</v>
      </c>
      <c r="C244" s="400">
        <v>44266</v>
      </c>
      <c r="D244" s="412" t="s">
        <v>1482</v>
      </c>
      <c r="E244" s="401" t="s">
        <v>518</v>
      </c>
      <c r="F244" s="402" t="s">
        <v>1413</v>
      </c>
      <c r="G244" s="403" t="s">
        <v>1409</v>
      </c>
      <c r="H244" s="405">
        <v>21300</v>
      </c>
      <c r="I244" s="247" t="s">
        <v>1410</v>
      </c>
    </row>
    <row r="245" spans="1:12" s="245" customFormat="1" ht="63.75">
      <c r="A245" s="239">
        <v>243</v>
      </c>
      <c r="B245" s="247" t="s">
        <v>1483</v>
      </c>
      <c r="C245" s="400">
        <v>44266</v>
      </c>
      <c r="D245" s="412" t="s">
        <v>1482</v>
      </c>
      <c r="E245" s="401" t="s">
        <v>518</v>
      </c>
      <c r="F245" s="402" t="s">
        <v>1414</v>
      </c>
      <c r="G245" s="403" t="s">
        <v>1409</v>
      </c>
      <c r="H245" s="405">
        <v>21300</v>
      </c>
      <c r="I245" s="247" t="s">
        <v>1410</v>
      </c>
    </row>
    <row r="246" spans="1:12" s="245" customFormat="1" ht="63.75">
      <c r="A246" s="239">
        <v>244</v>
      </c>
      <c r="B246" s="247" t="s">
        <v>1483</v>
      </c>
      <c r="C246" s="400">
        <v>44266</v>
      </c>
      <c r="D246" s="412" t="s">
        <v>1482</v>
      </c>
      <c r="E246" s="401" t="s">
        <v>518</v>
      </c>
      <c r="F246" s="402" t="s">
        <v>1415</v>
      </c>
      <c r="G246" s="403" t="s">
        <v>1409</v>
      </c>
      <c r="H246" s="405">
        <v>21300</v>
      </c>
      <c r="I246" s="247" t="s">
        <v>1410</v>
      </c>
    </row>
    <row r="247" spans="1:12" s="245" customFormat="1" ht="63.75">
      <c r="A247" s="239">
        <v>245</v>
      </c>
      <c r="B247" s="239" t="s">
        <v>1586</v>
      </c>
      <c r="C247" s="400">
        <v>44480</v>
      </c>
      <c r="D247" s="239" t="s">
        <v>1551</v>
      </c>
      <c r="E247" s="401" t="s">
        <v>1556</v>
      </c>
      <c r="F247" s="402" t="s">
        <v>1557</v>
      </c>
      <c r="G247" s="336" t="s">
        <v>1554</v>
      </c>
      <c r="H247" s="405">
        <v>21500</v>
      </c>
      <c r="I247" s="247" t="s">
        <v>1555</v>
      </c>
    </row>
    <row r="248" spans="1:12" s="245" customFormat="1" ht="63.75">
      <c r="A248" s="239">
        <v>246</v>
      </c>
      <c r="B248" s="239" t="s">
        <v>1586</v>
      </c>
      <c r="C248" s="400">
        <v>44480</v>
      </c>
      <c r="D248" s="239" t="s">
        <v>1551</v>
      </c>
      <c r="E248" s="401" t="s">
        <v>1556</v>
      </c>
      <c r="F248" s="402" t="s">
        <v>1564</v>
      </c>
      <c r="G248" s="336" t="s">
        <v>1554</v>
      </c>
      <c r="H248" s="405">
        <v>21500</v>
      </c>
      <c r="I248" s="247" t="s">
        <v>1567</v>
      </c>
      <c r="J248" s="406"/>
    </row>
    <row r="249" spans="1:12" s="245" customFormat="1" ht="63.75">
      <c r="A249" s="239">
        <v>247</v>
      </c>
      <c r="B249" s="239" t="s">
        <v>1586</v>
      </c>
      <c r="C249" s="400">
        <v>44480</v>
      </c>
      <c r="D249" s="239" t="s">
        <v>1551</v>
      </c>
      <c r="E249" s="401" t="s">
        <v>1552</v>
      </c>
      <c r="F249" s="402" t="s">
        <v>1553</v>
      </c>
      <c r="G249" s="336" t="s">
        <v>1554</v>
      </c>
      <c r="H249" s="405">
        <v>21500</v>
      </c>
      <c r="I249" s="412" t="s">
        <v>1596</v>
      </c>
      <c r="J249" s="406"/>
      <c r="K249" s="411"/>
      <c r="L249" s="411"/>
    </row>
    <row r="250" spans="1:12" s="245" customFormat="1" ht="63.75">
      <c r="A250" s="239">
        <v>248</v>
      </c>
      <c r="B250" s="239" t="s">
        <v>1586</v>
      </c>
      <c r="C250" s="400">
        <v>44480</v>
      </c>
      <c r="D250" s="239" t="s">
        <v>1551</v>
      </c>
      <c r="E250" s="401" t="s">
        <v>1552</v>
      </c>
      <c r="F250" s="402" t="s">
        <v>1563</v>
      </c>
      <c r="G250" s="336" t="s">
        <v>1554</v>
      </c>
      <c r="H250" s="405">
        <v>21500</v>
      </c>
      <c r="I250" s="247" t="s">
        <v>1567</v>
      </c>
      <c r="J250" s="406"/>
    </row>
    <row r="251" spans="1:12" s="245" customFormat="1" ht="60" customHeight="1">
      <c r="A251" s="239">
        <v>249</v>
      </c>
      <c r="B251" s="239" t="s">
        <v>1586</v>
      </c>
      <c r="C251" s="400">
        <v>44480</v>
      </c>
      <c r="D251" s="239" t="s">
        <v>1551</v>
      </c>
      <c r="E251" s="401" t="s">
        <v>1552</v>
      </c>
      <c r="F251" s="402" t="s">
        <v>1575</v>
      </c>
      <c r="G251" s="336" t="s">
        <v>1554</v>
      </c>
      <c r="H251" s="405">
        <v>21500</v>
      </c>
      <c r="I251" s="247" t="s">
        <v>1576</v>
      </c>
      <c r="J251" s="406"/>
    </row>
    <row r="252" spans="1:12" s="245" customFormat="1" ht="60" customHeight="1">
      <c r="A252" s="239">
        <v>250</v>
      </c>
      <c r="B252" s="239" t="s">
        <v>1586</v>
      </c>
      <c r="C252" s="400">
        <v>44480</v>
      </c>
      <c r="D252" s="239" t="s">
        <v>1551</v>
      </c>
      <c r="E252" s="401" t="s">
        <v>1552</v>
      </c>
      <c r="F252" s="402" t="s">
        <v>1577</v>
      </c>
      <c r="G252" s="336" t="s">
        <v>1554</v>
      </c>
      <c r="H252" s="405">
        <v>21500</v>
      </c>
      <c r="I252" s="247" t="s">
        <v>1576</v>
      </c>
    </row>
    <row r="253" spans="1:12" s="245" customFormat="1" ht="60" customHeight="1">
      <c r="A253" s="239">
        <v>251</v>
      </c>
      <c r="B253" s="239" t="s">
        <v>1586</v>
      </c>
      <c r="C253" s="400">
        <v>44480</v>
      </c>
      <c r="D253" s="239" t="s">
        <v>1551</v>
      </c>
      <c r="E253" s="401" t="s">
        <v>1552</v>
      </c>
      <c r="F253" s="402" t="s">
        <v>1578</v>
      </c>
      <c r="G253" s="336" t="s">
        <v>1554</v>
      </c>
      <c r="H253" s="405">
        <v>21500</v>
      </c>
      <c r="I253" s="247" t="s">
        <v>1576</v>
      </c>
    </row>
    <row r="254" spans="1:12" s="245" customFormat="1" ht="60" customHeight="1">
      <c r="A254" s="239">
        <v>252</v>
      </c>
      <c r="B254" s="239" t="s">
        <v>1586</v>
      </c>
      <c r="C254" s="400">
        <v>44480</v>
      </c>
      <c r="D254" s="239" t="s">
        <v>1551</v>
      </c>
      <c r="E254" s="401" t="s">
        <v>1552</v>
      </c>
      <c r="F254" s="402" t="s">
        <v>1579</v>
      </c>
      <c r="G254" s="336" t="s">
        <v>1554</v>
      </c>
      <c r="H254" s="405">
        <v>21500</v>
      </c>
      <c r="I254" s="247" t="s">
        <v>1576</v>
      </c>
      <c r="J254" s="406"/>
    </row>
    <row r="255" spans="1:12" s="245" customFormat="1" ht="60" customHeight="1">
      <c r="A255" s="239">
        <v>253</v>
      </c>
      <c r="B255" s="239" t="s">
        <v>1586</v>
      </c>
      <c r="C255" s="400">
        <v>44480</v>
      </c>
      <c r="D255" s="239" t="s">
        <v>1551</v>
      </c>
      <c r="E255" s="401" t="s">
        <v>1552</v>
      </c>
      <c r="F255" s="402" t="s">
        <v>1580</v>
      </c>
      <c r="G255" s="336" t="s">
        <v>1554</v>
      </c>
      <c r="H255" s="405">
        <v>21500</v>
      </c>
      <c r="I255" s="247" t="s">
        <v>1576</v>
      </c>
    </row>
    <row r="256" spans="1:12" s="245" customFormat="1" ht="60" customHeight="1">
      <c r="A256" s="239">
        <v>254</v>
      </c>
      <c r="B256" s="239" t="s">
        <v>1586</v>
      </c>
      <c r="C256" s="400">
        <v>44480</v>
      </c>
      <c r="D256" s="239" t="s">
        <v>1551</v>
      </c>
      <c r="E256" s="401" t="s">
        <v>1552</v>
      </c>
      <c r="F256" s="402" t="s">
        <v>1581</v>
      </c>
      <c r="G256" s="336" t="s">
        <v>1554</v>
      </c>
      <c r="H256" s="405">
        <v>21500</v>
      </c>
      <c r="I256" s="247" t="s">
        <v>1576</v>
      </c>
    </row>
    <row r="257" spans="1:12" s="245" customFormat="1" ht="60" customHeight="1">
      <c r="A257" s="239">
        <v>255</v>
      </c>
      <c r="B257" s="247" t="s">
        <v>1647</v>
      </c>
      <c r="C257" s="400">
        <v>44564</v>
      </c>
      <c r="D257" s="247" t="s">
        <v>1648</v>
      </c>
      <c r="E257" s="401" t="s">
        <v>1552</v>
      </c>
      <c r="F257" s="402" t="s">
        <v>1649</v>
      </c>
      <c r="G257" s="336" t="s">
        <v>1554</v>
      </c>
      <c r="H257" s="405">
        <v>21500</v>
      </c>
      <c r="I257" s="247" t="s">
        <v>1646</v>
      </c>
      <c r="J257" s="411"/>
      <c r="K257" s="411"/>
      <c r="L257" s="411"/>
    </row>
    <row r="258" spans="1:12" s="245" customFormat="1" ht="60" customHeight="1">
      <c r="A258" s="239">
        <v>256</v>
      </c>
      <c r="B258" s="247" t="s">
        <v>1647</v>
      </c>
      <c r="C258" s="400">
        <v>44564</v>
      </c>
      <c r="D258" s="247" t="s">
        <v>1648</v>
      </c>
      <c r="E258" s="401" t="s">
        <v>1552</v>
      </c>
      <c r="F258" s="402" t="s">
        <v>1650</v>
      </c>
      <c r="G258" s="336" t="s">
        <v>1554</v>
      </c>
      <c r="H258" s="405">
        <v>21500</v>
      </c>
      <c r="I258" s="247" t="s">
        <v>1646</v>
      </c>
      <c r="J258" s="411"/>
      <c r="K258" s="411"/>
      <c r="L258" s="411"/>
    </row>
    <row r="259" spans="1:12" s="245" customFormat="1" ht="60" customHeight="1">
      <c r="A259" s="239">
        <v>257</v>
      </c>
      <c r="B259" s="247" t="s">
        <v>1647</v>
      </c>
      <c r="C259" s="400">
        <v>44564</v>
      </c>
      <c r="D259" s="247" t="s">
        <v>1648</v>
      </c>
      <c r="E259" s="401" t="s">
        <v>1552</v>
      </c>
      <c r="F259" s="402" t="s">
        <v>1651</v>
      </c>
      <c r="G259" s="336" t="s">
        <v>1554</v>
      </c>
      <c r="H259" s="405">
        <v>21500</v>
      </c>
      <c r="I259" s="247" t="s">
        <v>1646</v>
      </c>
      <c r="J259" s="411"/>
      <c r="K259" s="411"/>
      <c r="L259" s="411"/>
    </row>
    <row r="260" spans="1:12" s="245" customFormat="1" ht="60" customHeight="1">
      <c r="A260" s="239">
        <v>258</v>
      </c>
      <c r="B260" s="247" t="s">
        <v>1647</v>
      </c>
      <c r="C260" s="400">
        <v>44564</v>
      </c>
      <c r="D260" s="247" t="s">
        <v>1648</v>
      </c>
      <c r="E260" s="401" t="s">
        <v>1552</v>
      </c>
      <c r="F260" s="402" t="s">
        <v>1652</v>
      </c>
      <c r="G260" s="336" t="s">
        <v>1554</v>
      </c>
      <c r="H260" s="405">
        <v>21500</v>
      </c>
      <c r="I260" s="247" t="s">
        <v>1646</v>
      </c>
      <c r="J260" s="411"/>
      <c r="K260" s="411"/>
      <c r="L260" s="411"/>
    </row>
    <row r="261" spans="1:12" s="245" customFormat="1" ht="60" customHeight="1">
      <c r="A261" s="239">
        <v>259</v>
      </c>
      <c r="B261" s="247" t="s">
        <v>1647</v>
      </c>
      <c r="C261" s="400">
        <v>44564</v>
      </c>
      <c r="D261" s="247" t="s">
        <v>1648</v>
      </c>
      <c r="E261" s="401" t="s">
        <v>1552</v>
      </c>
      <c r="F261" s="402" t="s">
        <v>1653</v>
      </c>
      <c r="G261" s="336" t="s">
        <v>1554</v>
      </c>
      <c r="H261" s="405">
        <v>21500</v>
      </c>
      <c r="I261" s="247" t="s">
        <v>1646</v>
      </c>
      <c r="J261" s="411"/>
      <c r="K261" s="411"/>
      <c r="L261" s="411"/>
    </row>
    <row r="262" spans="1:12" s="245" customFormat="1" ht="60" customHeight="1">
      <c r="A262" s="239">
        <v>260</v>
      </c>
      <c r="B262" s="247" t="s">
        <v>1647</v>
      </c>
      <c r="C262" s="400">
        <v>44564</v>
      </c>
      <c r="D262" s="247" t="s">
        <v>1648</v>
      </c>
      <c r="E262" s="401" t="s">
        <v>1552</v>
      </c>
      <c r="F262" s="402" t="s">
        <v>1654</v>
      </c>
      <c r="G262" s="336" t="s">
        <v>1554</v>
      </c>
      <c r="H262" s="405">
        <v>21500</v>
      </c>
      <c r="I262" s="247" t="s">
        <v>1646</v>
      </c>
      <c r="J262" s="411"/>
      <c r="K262" s="411"/>
      <c r="L262" s="411"/>
    </row>
    <row r="263" spans="1:12" s="245" customFormat="1" ht="60" customHeight="1">
      <c r="A263" s="239">
        <v>261</v>
      </c>
      <c r="B263" s="247" t="s">
        <v>1664</v>
      </c>
      <c r="C263" s="400">
        <v>44614</v>
      </c>
      <c r="D263" s="247" t="s">
        <v>1665</v>
      </c>
      <c r="E263" s="401" t="s">
        <v>1552</v>
      </c>
      <c r="F263" s="402" t="s">
        <v>1666</v>
      </c>
      <c r="G263" s="336" t="s">
        <v>1554</v>
      </c>
      <c r="H263" s="405">
        <v>21500</v>
      </c>
      <c r="I263" s="247" t="s">
        <v>1667</v>
      </c>
      <c r="J263" s="411"/>
      <c r="K263" s="411"/>
      <c r="L263" s="411"/>
    </row>
    <row r="264" spans="1:12" s="245" customFormat="1" ht="60" customHeight="1">
      <c r="A264" s="239">
        <v>262</v>
      </c>
      <c r="B264" s="247" t="s">
        <v>1736</v>
      </c>
      <c r="C264" s="400">
        <v>44785</v>
      </c>
      <c r="D264" s="247" t="s">
        <v>1700</v>
      </c>
      <c r="E264" s="401" t="s">
        <v>1552</v>
      </c>
      <c r="F264" s="402" t="s">
        <v>1701</v>
      </c>
      <c r="G264" s="336" t="s">
        <v>1554</v>
      </c>
      <c r="H264" s="405">
        <v>22300</v>
      </c>
      <c r="I264" s="247" t="s">
        <v>1702</v>
      </c>
      <c r="J264" s="411"/>
      <c r="K264" s="411"/>
      <c r="L264" s="411"/>
    </row>
    <row r="265" spans="1:12" s="245" customFormat="1" ht="60" customHeight="1">
      <c r="A265" s="239">
        <v>263</v>
      </c>
      <c r="B265" s="247" t="s">
        <v>1736</v>
      </c>
      <c r="C265" s="400">
        <v>44785</v>
      </c>
      <c r="D265" s="247" t="s">
        <v>1700</v>
      </c>
      <c r="E265" s="401" t="s">
        <v>1552</v>
      </c>
      <c r="F265" s="402" t="s">
        <v>1703</v>
      </c>
      <c r="G265" s="336" t="s">
        <v>1554</v>
      </c>
      <c r="H265" s="405">
        <v>22300</v>
      </c>
      <c r="I265" s="247" t="s">
        <v>1702</v>
      </c>
      <c r="J265" s="411"/>
      <c r="K265" s="411"/>
      <c r="L265" s="411"/>
    </row>
    <row r="266" spans="1:12" s="245" customFormat="1" ht="60" customHeight="1">
      <c r="A266" s="239">
        <v>264</v>
      </c>
      <c r="B266" s="247" t="s">
        <v>1736</v>
      </c>
      <c r="C266" s="400">
        <v>44785</v>
      </c>
      <c r="D266" s="247" t="s">
        <v>1700</v>
      </c>
      <c r="E266" s="401" t="s">
        <v>1552</v>
      </c>
      <c r="F266" s="402" t="s">
        <v>1704</v>
      </c>
      <c r="G266" s="336" t="s">
        <v>1554</v>
      </c>
      <c r="H266" s="405">
        <v>22300</v>
      </c>
      <c r="I266" s="247" t="s">
        <v>1702</v>
      </c>
      <c r="J266" s="411"/>
      <c r="K266" s="411"/>
      <c r="L266" s="411"/>
    </row>
    <row r="267" spans="1:12" ht="51">
      <c r="A267" s="239">
        <v>265</v>
      </c>
      <c r="B267" s="239" t="s">
        <v>1586</v>
      </c>
      <c r="C267" s="400">
        <v>44480</v>
      </c>
      <c r="D267" s="239" t="s">
        <v>1551</v>
      </c>
      <c r="E267" s="401" t="s">
        <v>257</v>
      </c>
      <c r="F267" s="402" t="s">
        <v>1558</v>
      </c>
      <c r="G267" s="336" t="s">
        <v>1559</v>
      </c>
      <c r="H267" s="405">
        <v>11215</v>
      </c>
      <c r="I267" s="247" t="s">
        <v>1555</v>
      </c>
      <c r="J267" s="245"/>
      <c r="K267" s="245"/>
      <c r="L267" s="245"/>
    </row>
    <row r="268" spans="1:12" ht="51">
      <c r="A268" s="239">
        <v>266</v>
      </c>
      <c r="B268" s="239" t="s">
        <v>1586</v>
      </c>
      <c r="C268" s="400">
        <v>44480</v>
      </c>
      <c r="D268" s="239" t="s">
        <v>1551</v>
      </c>
      <c r="E268" s="401" t="s">
        <v>257</v>
      </c>
      <c r="F268" s="402" t="s">
        <v>1560</v>
      </c>
      <c r="G268" s="336" t="s">
        <v>1559</v>
      </c>
      <c r="H268" s="405">
        <v>11215</v>
      </c>
      <c r="I268" s="247" t="s">
        <v>1555</v>
      </c>
      <c r="J268" s="245"/>
      <c r="K268" s="245"/>
      <c r="L268" s="245"/>
    </row>
    <row r="269" spans="1:12" ht="51">
      <c r="A269" s="239">
        <v>267</v>
      </c>
      <c r="B269" s="239" t="s">
        <v>1586</v>
      </c>
      <c r="C269" s="400">
        <v>44480</v>
      </c>
      <c r="D269" s="239" t="s">
        <v>1551</v>
      </c>
      <c r="E269" s="401" t="s">
        <v>257</v>
      </c>
      <c r="F269" s="402" t="s">
        <v>1565</v>
      </c>
      <c r="G269" s="336" t="s">
        <v>1559</v>
      </c>
      <c r="H269" s="405">
        <v>11215</v>
      </c>
      <c r="I269" s="247" t="s">
        <v>1567</v>
      </c>
      <c r="J269" s="245"/>
      <c r="K269" s="245"/>
      <c r="L269" s="245"/>
    </row>
    <row r="270" spans="1:12" ht="51">
      <c r="A270" s="239">
        <v>268</v>
      </c>
      <c r="B270" s="239" t="s">
        <v>1586</v>
      </c>
      <c r="C270" s="400">
        <v>44480</v>
      </c>
      <c r="D270" s="239" t="s">
        <v>1551</v>
      </c>
      <c r="E270" s="401" t="s">
        <v>257</v>
      </c>
      <c r="F270" s="402" t="s">
        <v>1566</v>
      </c>
      <c r="G270" s="336" t="s">
        <v>1559</v>
      </c>
      <c r="H270" s="405">
        <v>11215</v>
      </c>
      <c r="I270" s="247" t="s">
        <v>1567</v>
      </c>
      <c r="J270" s="245"/>
      <c r="K270" s="245"/>
      <c r="L270" s="245"/>
    </row>
    <row r="271" spans="1:12" ht="51">
      <c r="A271" s="239">
        <v>269</v>
      </c>
      <c r="B271" s="239" t="s">
        <v>1586</v>
      </c>
      <c r="C271" s="400">
        <v>44480</v>
      </c>
      <c r="D271" s="239" t="s">
        <v>1551</v>
      </c>
      <c r="E271" s="401" t="s">
        <v>257</v>
      </c>
      <c r="F271" s="402" t="s">
        <v>1568</v>
      </c>
      <c r="G271" s="336" t="s">
        <v>1559</v>
      </c>
      <c r="H271" s="405">
        <v>11215</v>
      </c>
      <c r="I271" s="247" t="s">
        <v>1572</v>
      </c>
      <c r="J271" s="245"/>
      <c r="K271" s="245"/>
      <c r="L271" s="245"/>
    </row>
    <row r="272" spans="1:12" ht="51">
      <c r="A272" s="239">
        <v>270</v>
      </c>
      <c r="B272" s="239" t="s">
        <v>1586</v>
      </c>
      <c r="C272" s="400">
        <v>44480</v>
      </c>
      <c r="D272" s="239" t="s">
        <v>1551</v>
      </c>
      <c r="E272" s="401" t="s">
        <v>257</v>
      </c>
      <c r="F272" s="402" t="s">
        <v>1569</v>
      </c>
      <c r="G272" s="336" t="s">
        <v>1559</v>
      </c>
      <c r="H272" s="405">
        <v>11215</v>
      </c>
      <c r="I272" s="247" t="s">
        <v>1567</v>
      </c>
      <c r="J272" s="245"/>
      <c r="K272" s="245"/>
      <c r="L272" s="245"/>
    </row>
    <row r="273" spans="1:12" ht="51">
      <c r="A273" s="239">
        <v>271</v>
      </c>
      <c r="B273" s="239" t="s">
        <v>1586</v>
      </c>
      <c r="C273" s="400">
        <v>44480</v>
      </c>
      <c r="D273" s="239" t="s">
        <v>1551</v>
      </c>
      <c r="E273" s="401" t="s">
        <v>257</v>
      </c>
      <c r="F273" s="402" t="s">
        <v>1570</v>
      </c>
      <c r="G273" s="336" t="s">
        <v>1559</v>
      </c>
      <c r="H273" s="405">
        <v>11215</v>
      </c>
      <c r="I273" s="247" t="s">
        <v>1567</v>
      </c>
      <c r="J273" s="245"/>
      <c r="K273" s="245"/>
      <c r="L273" s="245"/>
    </row>
    <row r="274" spans="1:12" ht="51">
      <c r="A274" s="239">
        <v>272</v>
      </c>
      <c r="B274" s="239" t="s">
        <v>1586</v>
      </c>
      <c r="C274" s="400">
        <v>44480</v>
      </c>
      <c r="D274" s="239" t="s">
        <v>1551</v>
      </c>
      <c r="E274" s="401" t="s">
        <v>257</v>
      </c>
      <c r="F274" s="402" t="s">
        <v>1571</v>
      </c>
      <c r="G274" s="336" t="s">
        <v>1559</v>
      </c>
      <c r="H274" s="405">
        <v>11215</v>
      </c>
      <c r="I274" s="247" t="s">
        <v>1567</v>
      </c>
      <c r="J274" s="245"/>
      <c r="K274" s="245"/>
      <c r="L274" s="245"/>
    </row>
    <row r="275" spans="1:12" ht="51">
      <c r="A275" s="239">
        <v>273</v>
      </c>
      <c r="B275" s="247" t="s">
        <v>1637</v>
      </c>
      <c r="C275" s="400">
        <v>44497</v>
      </c>
      <c r="D275" s="247" t="s">
        <v>1616</v>
      </c>
      <c r="E275" s="401" t="s">
        <v>257</v>
      </c>
      <c r="F275" s="402" t="s">
        <v>1617</v>
      </c>
      <c r="G275" s="336" t="s">
        <v>1559</v>
      </c>
      <c r="H275" s="405">
        <v>11215</v>
      </c>
      <c r="I275" s="247" t="s">
        <v>1638</v>
      </c>
    </row>
    <row r="276" spans="1:12" ht="63.75" customHeight="1">
      <c r="A276" s="239">
        <v>274</v>
      </c>
      <c r="B276" s="247" t="s">
        <v>1637</v>
      </c>
      <c r="C276" s="400">
        <v>44497</v>
      </c>
      <c r="D276" s="247" t="s">
        <v>1616</v>
      </c>
      <c r="E276" s="401" t="s">
        <v>257</v>
      </c>
      <c r="F276" s="402" t="s">
        <v>1618</v>
      </c>
      <c r="G276" s="336" t="s">
        <v>1559</v>
      </c>
      <c r="H276" s="405">
        <v>11215</v>
      </c>
      <c r="I276" s="247" t="s">
        <v>1638</v>
      </c>
    </row>
    <row r="277" spans="1:12" ht="63.75" customHeight="1">
      <c r="A277" s="239">
        <v>275</v>
      </c>
      <c r="B277" s="247" t="s">
        <v>1637</v>
      </c>
      <c r="C277" s="400">
        <v>44497</v>
      </c>
      <c r="D277" s="247" t="s">
        <v>1616</v>
      </c>
      <c r="E277" s="401" t="s">
        <v>257</v>
      </c>
      <c r="F277" s="402" t="s">
        <v>1619</v>
      </c>
      <c r="G277" s="336" t="s">
        <v>1559</v>
      </c>
      <c r="H277" s="405">
        <v>11215</v>
      </c>
      <c r="I277" s="247" t="s">
        <v>1638</v>
      </c>
    </row>
    <row r="278" spans="1:12" s="245" customFormat="1" ht="51">
      <c r="A278" s="239">
        <v>276</v>
      </c>
      <c r="B278" s="406" t="s">
        <v>1637</v>
      </c>
      <c r="C278" s="429">
        <v>44497</v>
      </c>
      <c r="D278" s="406" t="s">
        <v>1616</v>
      </c>
      <c r="E278" s="430" t="s">
        <v>257</v>
      </c>
      <c r="F278" s="431" t="s">
        <v>1620</v>
      </c>
      <c r="G278" s="432" t="s">
        <v>1559</v>
      </c>
      <c r="H278" s="433">
        <v>11215</v>
      </c>
      <c r="I278" s="247" t="s">
        <v>1638</v>
      </c>
      <c r="J278" s="411"/>
      <c r="K278" s="411"/>
      <c r="L278" s="411"/>
    </row>
    <row r="279" spans="1:12" ht="63.75" customHeight="1">
      <c r="A279" s="239">
        <v>277</v>
      </c>
      <c r="B279" s="247" t="s">
        <v>1625</v>
      </c>
      <c r="C279" s="400">
        <v>44529</v>
      </c>
      <c r="D279" s="247" t="s">
        <v>1626</v>
      </c>
      <c r="E279" s="401" t="s">
        <v>257</v>
      </c>
      <c r="F279" s="402" t="s">
        <v>1627</v>
      </c>
      <c r="G279" s="336" t="s">
        <v>1559</v>
      </c>
      <c r="H279" s="405">
        <v>11215</v>
      </c>
      <c r="I279" s="247" t="s">
        <v>1638</v>
      </c>
    </row>
    <row r="280" spans="1:12" ht="63.75" customHeight="1">
      <c r="A280" s="239">
        <v>278</v>
      </c>
      <c r="B280" s="247" t="s">
        <v>1625</v>
      </c>
      <c r="C280" s="400">
        <v>44529</v>
      </c>
      <c r="D280" s="247" t="s">
        <v>1626</v>
      </c>
      <c r="E280" s="401" t="s">
        <v>257</v>
      </c>
      <c r="F280" s="402" t="s">
        <v>1628</v>
      </c>
      <c r="G280" s="336" t="s">
        <v>1559</v>
      </c>
      <c r="H280" s="405">
        <v>11215</v>
      </c>
      <c r="I280" s="247" t="s">
        <v>1639</v>
      </c>
    </row>
    <row r="281" spans="1:12" ht="63.75" customHeight="1">
      <c r="A281" s="239">
        <v>279</v>
      </c>
      <c r="B281" s="247" t="s">
        <v>1625</v>
      </c>
      <c r="C281" s="400">
        <v>44529</v>
      </c>
      <c r="D281" s="247" t="s">
        <v>1626</v>
      </c>
      <c r="E281" s="401" t="s">
        <v>257</v>
      </c>
      <c r="F281" s="402" t="s">
        <v>1629</v>
      </c>
      <c r="G281" s="336" t="s">
        <v>1559</v>
      </c>
      <c r="H281" s="405">
        <v>11215</v>
      </c>
      <c r="I281" s="247" t="s">
        <v>1639</v>
      </c>
    </row>
    <row r="282" spans="1:12" ht="63.75" customHeight="1">
      <c r="A282" s="239">
        <v>280</v>
      </c>
      <c r="B282" s="247" t="s">
        <v>1625</v>
      </c>
      <c r="C282" s="400">
        <v>44529</v>
      </c>
      <c r="D282" s="247" t="s">
        <v>1626</v>
      </c>
      <c r="E282" s="401" t="s">
        <v>257</v>
      </c>
      <c r="F282" s="402" t="s">
        <v>1630</v>
      </c>
      <c r="G282" s="336" t="s">
        <v>1559</v>
      </c>
      <c r="H282" s="405">
        <v>11215</v>
      </c>
      <c r="I282" s="247" t="s">
        <v>1639</v>
      </c>
    </row>
    <row r="283" spans="1:12" ht="63.75" customHeight="1">
      <c r="A283" s="239">
        <v>281</v>
      </c>
      <c r="B283" s="247" t="s">
        <v>1640</v>
      </c>
      <c r="C283" s="400">
        <v>44538</v>
      </c>
      <c r="D283" s="247" t="s">
        <v>1641</v>
      </c>
      <c r="E283" s="401" t="s">
        <v>257</v>
      </c>
      <c r="F283" s="402" t="s">
        <v>1642</v>
      </c>
      <c r="G283" s="336" t="s">
        <v>1559</v>
      </c>
      <c r="H283" s="405">
        <v>11215</v>
      </c>
      <c r="I283" s="247" t="s">
        <v>1646</v>
      </c>
    </row>
    <row r="284" spans="1:12" ht="63.75" customHeight="1">
      <c r="A284" s="239">
        <v>282</v>
      </c>
      <c r="B284" s="247" t="s">
        <v>1640</v>
      </c>
      <c r="C284" s="400">
        <v>44538</v>
      </c>
      <c r="D284" s="247" t="s">
        <v>1641</v>
      </c>
      <c r="E284" s="401" t="s">
        <v>257</v>
      </c>
      <c r="F284" s="402" t="s">
        <v>1643</v>
      </c>
      <c r="G284" s="336" t="s">
        <v>1559</v>
      </c>
      <c r="H284" s="405">
        <v>11215</v>
      </c>
      <c r="I284" s="247" t="s">
        <v>1646</v>
      </c>
    </row>
    <row r="285" spans="1:12" ht="63.75" customHeight="1">
      <c r="A285" s="239">
        <v>283</v>
      </c>
      <c r="B285" s="247" t="s">
        <v>1640</v>
      </c>
      <c r="C285" s="400">
        <v>44538</v>
      </c>
      <c r="D285" s="247" t="s">
        <v>1641</v>
      </c>
      <c r="E285" s="401" t="s">
        <v>257</v>
      </c>
      <c r="F285" s="402" t="s">
        <v>1644</v>
      </c>
      <c r="G285" s="336" t="s">
        <v>1559</v>
      </c>
      <c r="H285" s="405">
        <v>11215</v>
      </c>
      <c r="I285" s="247" t="s">
        <v>1646</v>
      </c>
    </row>
    <row r="286" spans="1:12" ht="63.75" customHeight="1">
      <c r="A286" s="239">
        <v>284</v>
      </c>
      <c r="B286" s="247" t="s">
        <v>1640</v>
      </c>
      <c r="C286" s="400">
        <v>44538</v>
      </c>
      <c r="D286" s="247" t="s">
        <v>1641</v>
      </c>
      <c r="E286" s="401" t="s">
        <v>257</v>
      </c>
      <c r="F286" s="402" t="s">
        <v>1645</v>
      </c>
      <c r="G286" s="336" t="s">
        <v>1559</v>
      </c>
      <c r="H286" s="405">
        <v>11215</v>
      </c>
      <c r="I286" s="247" t="s">
        <v>1646</v>
      </c>
    </row>
    <row r="287" spans="1:12" ht="76.5">
      <c r="A287" s="239">
        <v>285</v>
      </c>
      <c r="B287" s="247" t="s">
        <v>1848</v>
      </c>
      <c r="C287" s="400">
        <v>44926</v>
      </c>
      <c r="D287" s="247" t="s">
        <v>1849</v>
      </c>
      <c r="E287" s="401" t="s">
        <v>1850</v>
      </c>
      <c r="F287" s="402" t="s">
        <v>1851</v>
      </c>
      <c r="G287" s="336" t="s">
        <v>1985</v>
      </c>
      <c r="H287" s="405">
        <v>16500</v>
      </c>
      <c r="I287" s="247" t="s">
        <v>1853</v>
      </c>
      <c r="J287" s="245"/>
      <c r="K287" s="245"/>
      <c r="L287" s="245"/>
    </row>
    <row r="288" spans="1:12" ht="76.5">
      <c r="A288" s="239">
        <v>286</v>
      </c>
      <c r="B288" s="247" t="s">
        <v>1854</v>
      </c>
      <c r="C288" s="400">
        <v>44953</v>
      </c>
      <c r="D288" s="247" t="s">
        <v>1849</v>
      </c>
      <c r="E288" s="434" t="s">
        <v>1850</v>
      </c>
      <c r="F288" s="402" t="s">
        <v>1855</v>
      </c>
      <c r="G288" s="435" t="s">
        <v>1985</v>
      </c>
      <c r="H288" s="436">
        <v>16500</v>
      </c>
      <c r="I288" s="247" t="s">
        <v>1856</v>
      </c>
    </row>
    <row r="289" spans="1:12" ht="76.5">
      <c r="A289" s="239">
        <v>287</v>
      </c>
      <c r="B289" s="247" t="s">
        <v>1854</v>
      </c>
      <c r="C289" s="400">
        <v>44953</v>
      </c>
      <c r="D289" s="247" t="s">
        <v>1849</v>
      </c>
      <c r="E289" s="434" t="s">
        <v>1850</v>
      </c>
      <c r="F289" s="402" t="s">
        <v>1857</v>
      </c>
      <c r="G289" s="435" t="s">
        <v>1985</v>
      </c>
      <c r="H289" s="436">
        <v>16500</v>
      </c>
      <c r="I289" s="247" t="s">
        <v>1856</v>
      </c>
    </row>
    <row r="290" spans="1:12" ht="76.5">
      <c r="A290" s="239">
        <v>288</v>
      </c>
      <c r="B290" s="247" t="s">
        <v>1854</v>
      </c>
      <c r="C290" s="400">
        <v>44953</v>
      </c>
      <c r="D290" s="247" t="s">
        <v>1849</v>
      </c>
      <c r="E290" s="434" t="s">
        <v>1850</v>
      </c>
      <c r="F290" s="402" t="s">
        <v>1858</v>
      </c>
      <c r="G290" s="435" t="s">
        <v>1985</v>
      </c>
      <c r="H290" s="436">
        <v>16500</v>
      </c>
      <c r="I290" s="247" t="s">
        <v>1856</v>
      </c>
    </row>
    <row r="291" spans="1:12" ht="76.5">
      <c r="A291" s="239">
        <v>289</v>
      </c>
      <c r="B291" s="247" t="s">
        <v>1854</v>
      </c>
      <c r="C291" s="400">
        <v>44953</v>
      </c>
      <c r="D291" s="247" t="s">
        <v>1849</v>
      </c>
      <c r="E291" s="434" t="s">
        <v>1850</v>
      </c>
      <c r="F291" s="402" t="s">
        <v>1859</v>
      </c>
      <c r="G291" s="435" t="s">
        <v>1985</v>
      </c>
      <c r="H291" s="436">
        <v>16500</v>
      </c>
      <c r="I291" s="247" t="s">
        <v>1856</v>
      </c>
    </row>
    <row r="292" spans="1:12" ht="76.5">
      <c r="A292" s="239">
        <v>290</v>
      </c>
      <c r="B292" s="247" t="s">
        <v>1865</v>
      </c>
      <c r="C292" s="400">
        <v>44972</v>
      </c>
      <c r="D292" s="247" t="s">
        <v>1849</v>
      </c>
      <c r="E292" s="434" t="s">
        <v>1850</v>
      </c>
      <c r="F292" s="402" t="s">
        <v>1860</v>
      </c>
      <c r="G292" s="435" t="s">
        <v>1985</v>
      </c>
      <c r="H292" s="436">
        <v>16500</v>
      </c>
      <c r="I292" s="247" t="s">
        <v>1866</v>
      </c>
    </row>
    <row r="293" spans="1:12" ht="76.5">
      <c r="A293" s="239">
        <v>291</v>
      </c>
      <c r="B293" s="247" t="s">
        <v>1865</v>
      </c>
      <c r="C293" s="400">
        <v>44972</v>
      </c>
      <c r="D293" s="247" t="s">
        <v>1849</v>
      </c>
      <c r="E293" s="434" t="s">
        <v>1850</v>
      </c>
      <c r="F293" s="402" t="s">
        <v>1861</v>
      </c>
      <c r="G293" s="435" t="s">
        <v>1985</v>
      </c>
      <c r="H293" s="436">
        <v>16500</v>
      </c>
      <c r="I293" s="247" t="s">
        <v>1866</v>
      </c>
    </row>
    <row r="294" spans="1:12" ht="76.5">
      <c r="A294" s="239">
        <v>292</v>
      </c>
      <c r="B294" s="247" t="s">
        <v>1865</v>
      </c>
      <c r="C294" s="400">
        <v>44972</v>
      </c>
      <c r="D294" s="247" t="s">
        <v>1849</v>
      </c>
      <c r="E294" s="434" t="s">
        <v>1850</v>
      </c>
      <c r="F294" s="402" t="s">
        <v>1862</v>
      </c>
      <c r="G294" s="435" t="s">
        <v>1985</v>
      </c>
      <c r="H294" s="436">
        <v>16500</v>
      </c>
      <c r="I294" s="247" t="s">
        <v>1866</v>
      </c>
    </row>
    <row r="295" spans="1:12" ht="76.5">
      <c r="A295" s="239">
        <v>293</v>
      </c>
      <c r="B295" s="247" t="s">
        <v>1865</v>
      </c>
      <c r="C295" s="400">
        <v>44972</v>
      </c>
      <c r="D295" s="247" t="s">
        <v>1849</v>
      </c>
      <c r="E295" s="434" t="s">
        <v>1850</v>
      </c>
      <c r="F295" s="402" t="s">
        <v>1863</v>
      </c>
      <c r="G295" s="435" t="s">
        <v>1985</v>
      </c>
      <c r="H295" s="436">
        <v>16500</v>
      </c>
      <c r="I295" s="247" t="s">
        <v>1866</v>
      </c>
    </row>
    <row r="296" spans="1:12" ht="76.5">
      <c r="A296" s="239">
        <v>294</v>
      </c>
      <c r="B296" s="247" t="s">
        <v>1865</v>
      </c>
      <c r="C296" s="400">
        <v>44972</v>
      </c>
      <c r="D296" s="247" t="s">
        <v>1849</v>
      </c>
      <c r="E296" s="434" t="s">
        <v>1850</v>
      </c>
      <c r="F296" s="402" t="s">
        <v>1864</v>
      </c>
      <c r="G296" s="435" t="s">
        <v>1985</v>
      </c>
      <c r="H296" s="436">
        <v>16500</v>
      </c>
      <c r="I296" s="247" t="s">
        <v>1866</v>
      </c>
    </row>
    <row r="297" spans="1:12" s="245" customFormat="1" ht="60" customHeight="1">
      <c r="A297" s="239">
        <v>295</v>
      </c>
      <c r="B297" s="247" t="s">
        <v>1818</v>
      </c>
      <c r="C297" s="400">
        <v>44859</v>
      </c>
      <c r="D297" s="247" t="s">
        <v>1819</v>
      </c>
      <c r="E297" s="401" t="s">
        <v>1552</v>
      </c>
      <c r="F297" s="402" t="s">
        <v>1820</v>
      </c>
      <c r="G297" s="336" t="s">
        <v>1554</v>
      </c>
      <c r="H297" s="405">
        <v>22300</v>
      </c>
      <c r="I297" s="247" t="s">
        <v>1821</v>
      </c>
      <c r="J297" s="411"/>
      <c r="K297" s="411"/>
      <c r="L297" s="411"/>
    </row>
    <row r="298" spans="1:12" s="245" customFormat="1" ht="60" customHeight="1">
      <c r="A298" s="239">
        <v>296</v>
      </c>
      <c r="B298" s="247" t="s">
        <v>1822</v>
      </c>
      <c r="C298" s="400">
        <v>44861</v>
      </c>
      <c r="D298" s="247" t="s">
        <v>1823</v>
      </c>
      <c r="E298" s="401" t="s">
        <v>1552</v>
      </c>
      <c r="F298" s="402" t="s">
        <v>1824</v>
      </c>
      <c r="G298" s="336" t="s">
        <v>1554</v>
      </c>
      <c r="H298" s="405">
        <v>22300</v>
      </c>
      <c r="I298" s="247" t="s">
        <v>1825</v>
      </c>
      <c r="J298" s="411"/>
      <c r="K298" s="411"/>
      <c r="L298" s="411"/>
    </row>
    <row r="299" spans="1:12" ht="63.75">
      <c r="A299" s="239">
        <v>297</v>
      </c>
      <c r="B299" s="247" t="s">
        <v>1900</v>
      </c>
      <c r="C299" s="400">
        <v>45044</v>
      </c>
      <c r="D299" s="247" t="s">
        <v>1879</v>
      </c>
      <c r="E299" s="401" t="s">
        <v>1880</v>
      </c>
      <c r="F299" s="402" t="s">
        <v>1881</v>
      </c>
      <c r="G299" s="403" t="s">
        <v>1882</v>
      </c>
      <c r="H299" s="405">
        <v>22300</v>
      </c>
      <c r="I299" s="247" t="s">
        <v>1883</v>
      </c>
    </row>
    <row r="300" spans="1:12" ht="63.75">
      <c r="A300" s="239">
        <v>298</v>
      </c>
      <c r="B300" s="247" t="s">
        <v>1900</v>
      </c>
      <c r="C300" s="400">
        <v>45044</v>
      </c>
      <c r="D300" s="247" t="s">
        <v>1879</v>
      </c>
      <c r="E300" s="401" t="s">
        <v>1880</v>
      </c>
      <c r="F300" s="402" t="s">
        <v>1884</v>
      </c>
      <c r="G300" s="403" t="s">
        <v>1882</v>
      </c>
      <c r="H300" s="405">
        <v>22300</v>
      </c>
      <c r="I300" s="247" t="s">
        <v>1883</v>
      </c>
    </row>
    <row r="301" spans="1:12" ht="63.75">
      <c r="A301" s="239">
        <v>299</v>
      </c>
      <c r="B301" s="247" t="s">
        <v>1900</v>
      </c>
      <c r="C301" s="400">
        <v>45044</v>
      </c>
      <c r="D301" s="247" t="s">
        <v>1879</v>
      </c>
      <c r="E301" s="401" t="s">
        <v>1880</v>
      </c>
      <c r="F301" s="402" t="s">
        <v>1885</v>
      </c>
      <c r="G301" s="403" t="s">
        <v>1882</v>
      </c>
      <c r="H301" s="405">
        <v>22300</v>
      </c>
      <c r="I301" s="247" t="s">
        <v>1883</v>
      </c>
    </row>
    <row r="302" spans="1:12" ht="63.75">
      <c r="A302" s="239">
        <v>300</v>
      </c>
      <c r="B302" s="247" t="s">
        <v>1900</v>
      </c>
      <c r="C302" s="400">
        <v>45044</v>
      </c>
      <c r="D302" s="247" t="s">
        <v>1879</v>
      </c>
      <c r="E302" s="401" t="s">
        <v>1880</v>
      </c>
      <c r="F302" s="402" t="s">
        <v>1886</v>
      </c>
      <c r="G302" s="403" t="s">
        <v>1882</v>
      </c>
      <c r="H302" s="405">
        <v>22300</v>
      </c>
      <c r="I302" s="247" t="s">
        <v>1883</v>
      </c>
    </row>
    <row r="303" spans="1:12" ht="63.75">
      <c r="A303" s="239">
        <v>301</v>
      </c>
      <c r="B303" s="247" t="s">
        <v>1900</v>
      </c>
      <c r="C303" s="400">
        <v>45044</v>
      </c>
      <c r="D303" s="247" t="s">
        <v>1879</v>
      </c>
      <c r="E303" s="401" t="s">
        <v>1880</v>
      </c>
      <c r="F303" s="402" t="s">
        <v>1887</v>
      </c>
      <c r="G303" s="403" t="s">
        <v>1882</v>
      </c>
      <c r="H303" s="405">
        <v>22300</v>
      </c>
      <c r="I303" s="247" t="s">
        <v>1883</v>
      </c>
    </row>
    <row r="304" spans="1:12" ht="76.5">
      <c r="A304" s="239">
        <v>302</v>
      </c>
      <c r="B304" s="247" t="s">
        <v>1901</v>
      </c>
      <c r="C304" s="400">
        <v>45044</v>
      </c>
      <c r="D304" s="247" t="s">
        <v>1879</v>
      </c>
      <c r="E304" s="434" t="s">
        <v>1850</v>
      </c>
      <c r="F304" s="402" t="s">
        <v>1895</v>
      </c>
      <c r="G304" s="435" t="s">
        <v>1985</v>
      </c>
      <c r="H304" s="436">
        <v>16500</v>
      </c>
      <c r="I304" s="247" t="s">
        <v>1894</v>
      </c>
    </row>
    <row r="305" spans="1:9" ht="76.5">
      <c r="A305" s="239">
        <v>303</v>
      </c>
      <c r="B305" s="247" t="s">
        <v>1901</v>
      </c>
      <c r="C305" s="400">
        <v>45044</v>
      </c>
      <c r="D305" s="247" t="s">
        <v>1879</v>
      </c>
      <c r="E305" s="434" t="s">
        <v>1850</v>
      </c>
      <c r="F305" s="402" t="s">
        <v>1896</v>
      </c>
      <c r="G305" s="435" t="s">
        <v>1985</v>
      </c>
      <c r="H305" s="436">
        <v>16500</v>
      </c>
      <c r="I305" s="247" t="s">
        <v>1894</v>
      </c>
    </row>
    <row r="306" spans="1:9" ht="76.5">
      <c r="A306" s="239">
        <v>304</v>
      </c>
      <c r="B306" s="247" t="s">
        <v>1901</v>
      </c>
      <c r="C306" s="400">
        <v>45044</v>
      </c>
      <c r="D306" s="247" t="s">
        <v>1879</v>
      </c>
      <c r="E306" s="434" t="s">
        <v>1850</v>
      </c>
      <c r="F306" s="402" t="s">
        <v>1897</v>
      </c>
      <c r="G306" s="435" t="s">
        <v>1985</v>
      </c>
      <c r="H306" s="436">
        <v>16500</v>
      </c>
      <c r="I306" s="247" t="s">
        <v>1894</v>
      </c>
    </row>
    <row r="307" spans="1:9" ht="76.5">
      <c r="A307" s="239">
        <v>305</v>
      </c>
      <c r="B307" s="247" t="s">
        <v>1901</v>
      </c>
      <c r="C307" s="400">
        <v>45044</v>
      </c>
      <c r="D307" s="247" t="s">
        <v>1879</v>
      </c>
      <c r="E307" s="434" t="s">
        <v>1850</v>
      </c>
      <c r="F307" s="402" t="s">
        <v>1898</v>
      </c>
      <c r="G307" s="435" t="s">
        <v>1985</v>
      </c>
      <c r="H307" s="436">
        <v>16500</v>
      </c>
      <c r="I307" s="247" t="s">
        <v>1894</v>
      </c>
    </row>
    <row r="308" spans="1:9" ht="76.5">
      <c r="A308" s="239">
        <v>306</v>
      </c>
      <c r="B308" s="247" t="s">
        <v>1901</v>
      </c>
      <c r="C308" s="400">
        <v>45044</v>
      </c>
      <c r="D308" s="247" t="s">
        <v>1879</v>
      </c>
      <c r="E308" s="434" t="s">
        <v>1850</v>
      </c>
      <c r="F308" s="402" t="s">
        <v>1899</v>
      </c>
      <c r="G308" s="435" t="s">
        <v>1985</v>
      </c>
      <c r="H308" s="436">
        <v>16500</v>
      </c>
      <c r="I308" s="247" t="s">
        <v>1894</v>
      </c>
    </row>
    <row r="309" spans="1:9" ht="76.5">
      <c r="A309" s="239">
        <v>307</v>
      </c>
      <c r="B309" s="247" t="s">
        <v>1973</v>
      </c>
      <c r="C309" s="400">
        <v>45212</v>
      </c>
      <c r="D309" s="247" t="s">
        <v>1974</v>
      </c>
      <c r="E309" s="434" t="s">
        <v>1975</v>
      </c>
      <c r="F309" s="402" t="s">
        <v>1976</v>
      </c>
      <c r="G309" s="435" t="s">
        <v>1983</v>
      </c>
      <c r="H309" s="436">
        <v>22300</v>
      </c>
      <c r="I309" s="247" t="s">
        <v>1977</v>
      </c>
    </row>
    <row r="310" spans="1:9" ht="76.5">
      <c r="A310" s="239">
        <v>308</v>
      </c>
      <c r="B310" s="247" t="s">
        <v>1973</v>
      </c>
      <c r="C310" s="400">
        <v>45212</v>
      </c>
      <c r="D310" s="247" t="s">
        <v>1974</v>
      </c>
      <c r="E310" s="434" t="s">
        <v>1975</v>
      </c>
      <c r="F310" s="402" t="s">
        <v>1978</v>
      </c>
      <c r="G310" s="435" t="s">
        <v>1983</v>
      </c>
      <c r="H310" s="436">
        <v>22300</v>
      </c>
      <c r="I310" s="247" t="s">
        <v>1977</v>
      </c>
    </row>
    <row r="311" spans="1:9" ht="76.5">
      <c r="A311" s="239">
        <v>309</v>
      </c>
      <c r="B311" s="247" t="s">
        <v>1973</v>
      </c>
      <c r="C311" s="400">
        <v>45212</v>
      </c>
      <c r="D311" s="247" t="s">
        <v>1974</v>
      </c>
      <c r="E311" s="434" t="s">
        <v>1975</v>
      </c>
      <c r="F311" s="402" t="s">
        <v>1979</v>
      </c>
      <c r="G311" s="435" t="s">
        <v>1983</v>
      </c>
      <c r="H311" s="436">
        <v>22300</v>
      </c>
      <c r="I311" s="247" t="s">
        <v>1977</v>
      </c>
    </row>
    <row r="312" spans="1:9" ht="76.5">
      <c r="A312" s="239">
        <v>310</v>
      </c>
      <c r="B312" s="247" t="s">
        <v>1973</v>
      </c>
      <c r="C312" s="400">
        <v>45212</v>
      </c>
      <c r="D312" s="247" t="s">
        <v>1974</v>
      </c>
      <c r="E312" s="434" t="s">
        <v>1975</v>
      </c>
      <c r="F312" s="402" t="s">
        <v>1980</v>
      </c>
      <c r="G312" s="435" t="s">
        <v>1983</v>
      </c>
      <c r="H312" s="436">
        <v>22300</v>
      </c>
      <c r="I312" s="247" t="s">
        <v>1977</v>
      </c>
    </row>
    <row r="313" spans="1:9" ht="76.5">
      <c r="A313" s="239">
        <v>311</v>
      </c>
      <c r="B313" s="247" t="s">
        <v>1973</v>
      </c>
      <c r="C313" s="400">
        <v>45212</v>
      </c>
      <c r="D313" s="247" t="s">
        <v>1974</v>
      </c>
      <c r="E313" s="434" t="s">
        <v>1975</v>
      </c>
      <c r="F313" s="402" t="s">
        <v>1981</v>
      </c>
      <c r="G313" s="435" t="s">
        <v>1983</v>
      </c>
      <c r="H313" s="436">
        <v>22300</v>
      </c>
      <c r="I313" s="247" t="s">
        <v>1977</v>
      </c>
    </row>
    <row r="314" spans="1:9" ht="89.25">
      <c r="A314" s="239">
        <v>312</v>
      </c>
      <c r="B314" s="247" t="s">
        <v>1982</v>
      </c>
      <c r="C314" s="400">
        <v>45219</v>
      </c>
      <c r="D314" s="247" t="s">
        <v>1974</v>
      </c>
      <c r="E314" s="434" t="s">
        <v>1850</v>
      </c>
      <c r="F314" s="402" t="s">
        <v>1986</v>
      </c>
      <c r="G314" s="435" t="s">
        <v>1984</v>
      </c>
      <c r="H314" s="436">
        <v>16500</v>
      </c>
      <c r="I314" s="247" t="s">
        <v>1987</v>
      </c>
    </row>
    <row r="315" spans="1:9" ht="89.25">
      <c r="A315" s="239">
        <v>313</v>
      </c>
      <c r="B315" s="247" t="s">
        <v>1982</v>
      </c>
      <c r="C315" s="400">
        <v>45219</v>
      </c>
      <c r="D315" s="247" t="s">
        <v>1974</v>
      </c>
      <c r="E315" s="434" t="s">
        <v>1850</v>
      </c>
      <c r="F315" s="402" t="s">
        <v>1988</v>
      </c>
      <c r="G315" s="435" t="s">
        <v>1984</v>
      </c>
      <c r="H315" s="436">
        <v>16500</v>
      </c>
      <c r="I315" s="247" t="s">
        <v>1987</v>
      </c>
    </row>
    <row r="316" spans="1:9" ht="89.25">
      <c r="A316" s="239">
        <v>314</v>
      </c>
      <c r="B316" s="247" t="s">
        <v>1982</v>
      </c>
      <c r="C316" s="400">
        <v>45219</v>
      </c>
      <c r="D316" s="247" t="s">
        <v>1974</v>
      </c>
      <c r="E316" s="434" t="s">
        <v>1850</v>
      </c>
      <c r="F316" s="402" t="s">
        <v>1989</v>
      </c>
      <c r="G316" s="435" t="s">
        <v>1984</v>
      </c>
      <c r="H316" s="436">
        <v>16500</v>
      </c>
      <c r="I316" s="247" t="s">
        <v>1987</v>
      </c>
    </row>
    <row r="317" spans="1:9" ht="89.25">
      <c r="A317" s="239">
        <v>315</v>
      </c>
      <c r="B317" s="247" t="s">
        <v>1982</v>
      </c>
      <c r="C317" s="400">
        <v>45219</v>
      </c>
      <c r="D317" s="247" t="s">
        <v>1974</v>
      </c>
      <c r="E317" s="434" t="s">
        <v>1850</v>
      </c>
      <c r="F317" s="402" t="s">
        <v>1990</v>
      </c>
      <c r="G317" s="435" t="s">
        <v>1984</v>
      </c>
      <c r="H317" s="436">
        <v>16500</v>
      </c>
      <c r="I317" s="247" t="s">
        <v>1987</v>
      </c>
    </row>
    <row r="318" spans="1:9" ht="89.25">
      <c r="A318" s="239">
        <v>316</v>
      </c>
      <c r="B318" s="247" t="s">
        <v>1982</v>
      </c>
      <c r="C318" s="400">
        <v>45219</v>
      </c>
      <c r="D318" s="247" t="s">
        <v>1974</v>
      </c>
      <c r="E318" s="434" t="s">
        <v>1850</v>
      </c>
      <c r="F318" s="402" t="s">
        <v>1991</v>
      </c>
      <c r="G318" s="435" t="s">
        <v>1984</v>
      </c>
      <c r="H318" s="436">
        <v>16500</v>
      </c>
      <c r="I318" s="247" t="s">
        <v>1987</v>
      </c>
    </row>
    <row r="319" spans="1:9" ht="89.25">
      <c r="A319" s="239">
        <v>317</v>
      </c>
      <c r="B319" s="247" t="s">
        <v>1982</v>
      </c>
      <c r="C319" s="400">
        <v>45219</v>
      </c>
      <c r="D319" s="247" t="s">
        <v>1974</v>
      </c>
      <c r="E319" s="434" t="s">
        <v>1850</v>
      </c>
      <c r="F319" s="402" t="s">
        <v>1992</v>
      </c>
      <c r="G319" s="435" t="s">
        <v>1984</v>
      </c>
      <c r="H319" s="436">
        <v>16500</v>
      </c>
      <c r="I319" s="247" t="s">
        <v>1987</v>
      </c>
    </row>
    <row r="320" spans="1:9" ht="89.25">
      <c r="A320" s="239">
        <v>318</v>
      </c>
      <c r="B320" s="247" t="s">
        <v>1982</v>
      </c>
      <c r="C320" s="400">
        <v>45219</v>
      </c>
      <c r="D320" s="247" t="s">
        <v>1974</v>
      </c>
      <c r="E320" s="434" t="s">
        <v>1850</v>
      </c>
      <c r="F320" s="402" t="s">
        <v>1993</v>
      </c>
      <c r="G320" s="435" t="s">
        <v>1984</v>
      </c>
      <c r="H320" s="436">
        <v>16500</v>
      </c>
      <c r="I320" s="247" t="s">
        <v>1987</v>
      </c>
    </row>
    <row r="321" spans="1:9" ht="89.25">
      <c r="A321" s="239">
        <v>319</v>
      </c>
      <c r="B321" s="247" t="s">
        <v>1982</v>
      </c>
      <c r="C321" s="400">
        <v>45219</v>
      </c>
      <c r="D321" s="247" t="s">
        <v>1974</v>
      </c>
      <c r="E321" s="434" t="s">
        <v>1850</v>
      </c>
      <c r="F321" s="402" t="s">
        <v>1994</v>
      </c>
      <c r="G321" s="435" t="s">
        <v>1984</v>
      </c>
      <c r="H321" s="436">
        <v>16500</v>
      </c>
      <c r="I321" s="247" t="s">
        <v>1987</v>
      </c>
    </row>
    <row r="322" spans="1:9" ht="76.5">
      <c r="A322" s="239">
        <v>320</v>
      </c>
      <c r="B322" s="247" t="s">
        <v>2026</v>
      </c>
      <c r="C322" s="400">
        <v>45237</v>
      </c>
      <c r="D322" s="247" t="s">
        <v>1974</v>
      </c>
      <c r="E322" s="434" t="s">
        <v>1975</v>
      </c>
      <c r="F322" s="402" t="s">
        <v>2018</v>
      </c>
      <c r="G322" s="435" t="s">
        <v>1983</v>
      </c>
      <c r="H322" s="436">
        <v>22300</v>
      </c>
      <c r="I322" s="247" t="s">
        <v>2019</v>
      </c>
    </row>
    <row r="323" spans="1:9" ht="76.5">
      <c r="A323" s="239">
        <v>321</v>
      </c>
      <c r="B323" s="247" t="s">
        <v>2026</v>
      </c>
      <c r="C323" s="400">
        <v>45237</v>
      </c>
      <c r="D323" s="247" t="s">
        <v>1974</v>
      </c>
      <c r="E323" s="434" t="s">
        <v>1975</v>
      </c>
      <c r="F323" s="402" t="s">
        <v>2020</v>
      </c>
      <c r="G323" s="435" t="s">
        <v>1983</v>
      </c>
      <c r="H323" s="436">
        <v>22300</v>
      </c>
      <c r="I323" s="247" t="s">
        <v>2019</v>
      </c>
    </row>
    <row r="324" spans="1:9" ht="76.5">
      <c r="A324" s="239">
        <v>322</v>
      </c>
      <c r="B324" s="247" t="s">
        <v>2026</v>
      </c>
      <c r="C324" s="400">
        <v>45237</v>
      </c>
      <c r="D324" s="247" t="s">
        <v>1974</v>
      </c>
      <c r="E324" s="434" t="s">
        <v>1975</v>
      </c>
      <c r="F324" s="402" t="s">
        <v>2021</v>
      </c>
      <c r="G324" s="435" t="s">
        <v>1983</v>
      </c>
      <c r="H324" s="436">
        <v>22300</v>
      </c>
      <c r="I324" s="247" t="s">
        <v>2019</v>
      </c>
    </row>
    <row r="325" spans="1:9" ht="76.5">
      <c r="A325" s="239">
        <v>323</v>
      </c>
      <c r="B325" s="247" t="s">
        <v>2026</v>
      </c>
      <c r="C325" s="400">
        <v>45237</v>
      </c>
      <c r="D325" s="247" t="s">
        <v>1974</v>
      </c>
      <c r="E325" s="434" t="s">
        <v>1975</v>
      </c>
      <c r="F325" s="402" t="s">
        <v>2023</v>
      </c>
      <c r="G325" s="435" t="s">
        <v>1983</v>
      </c>
      <c r="H325" s="436">
        <v>22300</v>
      </c>
      <c r="I325" s="247" t="s">
        <v>2019</v>
      </c>
    </row>
    <row r="326" spans="1:9" ht="76.5">
      <c r="A326" s="239">
        <v>324</v>
      </c>
      <c r="B326" s="247" t="s">
        <v>2026</v>
      </c>
      <c r="C326" s="400">
        <v>45237</v>
      </c>
      <c r="D326" s="247" t="s">
        <v>1974</v>
      </c>
      <c r="E326" s="434" t="s">
        <v>1975</v>
      </c>
      <c r="F326" s="402" t="s">
        <v>2024</v>
      </c>
      <c r="G326" s="435" t="s">
        <v>1983</v>
      </c>
      <c r="H326" s="436">
        <v>22300</v>
      </c>
      <c r="I326" s="247" t="s">
        <v>2019</v>
      </c>
    </row>
    <row r="327" spans="1:9" ht="76.5">
      <c r="A327" s="239">
        <v>325</v>
      </c>
      <c r="B327" s="247" t="s">
        <v>2026</v>
      </c>
      <c r="C327" s="400">
        <v>45237</v>
      </c>
      <c r="D327" s="247" t="s">
        <v>1974</v>
      </c>
      <c r="E327" s="434" t="s">
        <v>1975</v>
      </c>
      <c r="F327" s="402" t="s">
        <v>2025</v>
      </c>
      <c r="G327" s="435" t="s">
        <v>1983</v>
      </c>
      <c r="H327" s="436">
        <v>22300</v>
      </c>
      <c r="I327" s="247" t="s">
        <v>2019</v>
      </c>
    </row>
    <row r="328" spans="1:9" ht="76.5">
      <c r="A328" s="239">
        <v>326</v>
      </c>
      <c r="B328" s="247" t="s">
        <v>2026</v>
      </c>
      <c r="C328" s="400">
        <v>45237</v>
      </c>
      <c r="D328" s="247" t="s">
        <v>1974</v>
      </c>
      <c r="E328" s="434" t="s">
        <v>1975</v>
      </c>
      <c r="F328" s="402" t="s">
        <v>2022</v>
      </c>
      <c r="G328" s="435" t="s">
        <v>1983</v>
      </c>
      <c r="H328" s="436">
        <v>22300</v>
      </c>
      <c r="I328" s="247" t="s">
        <v>2019</v>
      </c>
    </row>
    <row r="329" spans="1:9" ht="76.5" customHeight="1">
      <c r="A329" s="239">
        <v>327</v>
      </c>
      <c r="B329" s="247" t="s">
        <v>2099</v>
      </c>
      <c r="C329" s="400">
        <v>45366</v>
      </c>
      <c r="D329" s="247" t="s">
        <v>2086</v>
      </c>
      <c r="E329" s="434" t="s">
        <v>1975</v>
      </c>
      <c r="F329" s="402" t="s">
        <v>2087</v>
      </c>
      <c r="G329" s="435" t="s">
        <v>1983</v>
      </c>
      <c r="H329" s="436">
        <v>22300</v>
      </c>
      <c r="I329" s="247" t="s">
        <v>2091</v>
      </c>
    </row>
    <row r="330" spans="1:9" ht="76.5">
      <c r="A330" s="239">
        <v>328</v>
      </c>
      <c r="B330" s="247" t="s">
        <v>2178</v>
      </c>
      <c r="C330" s="400">
        <v>45386</v>
      </c>
      <c r="D330" s="247" t="s">
        <v>2086</v>
      </c>
      <c r="E330" s="434" t="s">
        <v>1975</v>
      </c>
      <c r="F330" s="402" t="s">
        <v>2112</v>
      </c>
      <c r="G330" s="435" t="s">
        <v>1983</v>
      </c>
      <c r="H330" s="436">
        <v>22300</v>
      </c>
      <c r="I330" s="247" t="s">
        <v>2116</v>
      </c>
    </row>
    <row r="331" spans="1:9" ht="76.5">
      <c r="A331" s="239">
        <v>329</v>
      </c>
      <c r="B331" s="247" t="s">
        <v>2179</v>
      </c>
      <c r="C331" s="400">
        <v>45391</v>
      </c>
      <c r="D331" s="247" t="s">
        <v>2086</v>
      </c>
      <c r="E331" s="434" t="s">
        <v>1975</v>
      </c>
      <c r="F331" s="402" t="s">
        <v>2120</v>
      </c>
      <c r="G331" s="435" t="s">
        <v>1983</v>
      </c>
      <c r="H331" s="436">
        <v>22300</v>
      </c>
      <c r="I331" s="247" t="s">
        <v>2118</v>
      </c>
    </row>
    <row r="332" spans="1:9" ht="76.5">
      <c r="A332" s="239">
        <v>330</v>
      </c>
      <c r="B332" s="247" t="s">
        <v>2111</v>
      </c>
      <c r="C332" s="400">
        <v>45373</v>
      </c>
      <c r="D332" s="247" t="s">
        <v>2086</v>
      </c>
      <c r="E332" s="434" t="s">
        <v>1975</v>
      </c>
      <c r="F332" s="402" t="s">
        <v>2107</v>
      </c>
      <c r="G332" s="435" t="s">
        <v>1983</v>
      </c>
      <c r="H332" s="436">
        <v>22300</v>
      </c>
      <c r="I332" s="247" t="s">
        <v>2108</v>
      </c>
    </row>
    <row r="333" spans="1:9" ht="76.5" customHeight="1">
      <c r="A333" s="239">
        <v>331</v>
      </c>
      <c r="B333" s="247" t="s">
        <v>2182</v>
      </c>
      <c r="C333" s="400">
        <v>45432</v>
      </c>
      <c r="D333" s="247" t="s">
        <v>2125</v>
      </c>
      <c r="E333" s="434" t="s">
        <v>1975</v>
      </c>
      <c r="F333" s="402" t="s">
        <v>2127</v>
      </c>
      <c r="G333" s="435" t="s">
        <v>1983</v>
      </c>
      <c r="H333" s="436">
        <v>22300</v>
      </c>
      <c r="I333" s="247" t="s">
        <v>2128</v>
      </c>
    </row>
    <row r="334" spans="1:9" ht="76.5" customHeight="1">
      <c r="A334" s="239">
        <v>332</v>
      </c>
      <c r="B334" s="247" t="s">
        <v>2099</v>
      </c>
      <c r="C334" s="400">
        <v>45366</v>
      </c>
      <c r="D334" s="247" t="s">
        <v>2086</v>
      </c>
      <c r="E334" s="434" t="s">
        <v>1975</v>
      </c>
      <c r="F334" s="402" t="s">
        <v>2088</v>
      </c>
      <c r="G334" s="435" t="s">
        <v>1983</v>
      </c>
      <c r="H334" s="436">
        <v>22300</v>
      </c>
      <c r="I334" s="247" t="s">
        <v>2091</v>
      </c>
    </row>
    <row r="335" spans="1:9" ht="76.5">
      <c r="A335" s="239">
        <v>333</v>
      </c>
      <c r="B335" s="247" t="s">
        <v>2111</v>
      </c>
      <c r="C335" s="400">
        <v>45373</v>
      </c>
      <c r="D335" s="247" t="s">
        <v>2086</v>
      </c>
      <c r="E335" s="434" t="s">
        <v>1975</v>
      </c>
      <c r="F335" s="402" t="s">
        <v>2105</v>
      </c>
      <c r="G335" s="435" t="s">
        <v>1983</v>
      </c>
      <c r="H335" s="436">
        <v>22300</v>
      </c>
      <c r="I335" s="247" t="s">
        <v>2108</v>
      </c>
    </row>
    <row r="336" spans="1:9" ht="76.5">
      <c r="A336" s="239">
        <v>334</v>
      </c>
      <c r="B336" s="247" t="s">
        <v>2178</v>
      </c>
      <c r="C336" s="400">
        <v>45386</v>
      </c>
      <c r="D336" s="247" t="s">
        <v>2086</v>
      </c>
      <c r="E336" s="434" t="s">
        <v>1975</v>
      </c>
      <c r="F336" s="402" t="s">
        <v>2114</v>
      </c>
      <c r="G336" s="435" t="s">
        <v>1983</v>
      </c>
      <c r="H336" s="436">
        <v>22300</v>
      </c>
      <c r="I336" s="247" t="s">
        <v>2116</v>
      </c>
    </row>
    <row r="337" spans="1:9" ht="76.5" customHeight="1">
      <c r="A337" s="239">
        <v>335</v>
      </c>
      <c r="B337" s="247" t="s">
        <v>2100</v>
      </c>
      <c r="C337" s="400">
        <v>45366</v>
      </c>
      <c r="D337" s="247" t="s">
        <v>2086</v>
      </c>
      <c r="E337" s="434" t="s">
        <v>1975</v>
      </c>
      <c r="F337" s="402" t="s">
        <v>2094</v>
      </c>
      <c r="G337" s="435" t="s">
        <v>1983</v>
      </c>
      <c r="H337" s="436">
        <v>22300</v>
      </c>
      <c r="I337" s="247" t="s">
        <v>2093</v>
      </c>
    </row>
    <row r="338" spans="1:9" ht="76.5" customHeight="1">
      <c r="A338" s="239">
        <v>336</v>
      </c>
      <c r="B338" s="247" t="s">
        <v>2100</v>
      </c>
      <c r="C338" s="400">
        <v>45366</v>
      </c>
      <c r="D338" s="247" t="s">
        <v>2086</v>
      </c>
      <c r="E338" s="434" t="s">
        <v>1975</v>
      </c>
      <c r="F338" s="402" t="s">
        <v>2095</v>
      </c>
      <c r="G338" s="435" t="s">
        <v>1983</v>
      </c>
      <c r="H338" s="436">
        <v>22300</v>
      </c>
      <c r="I338" s="247" t="s">
        <v>2093</v>
      </c>
    </row>
    <row r="339" spans="1:9" ht="76.5" customHeight="1">
      <c r="A339" s="239">
        <v>337</v>
      </c>
      <c r="B339" s="247" t="s">
        <v>2182</v>
      </c>
      <c r="C339" s="400">
        <v>45432</v>
      </c>
      <c r="D339" s="247" t="s">
        <v>2125</v>
      </c>
      <c r="E339" s="434" t="s">
        <v>1975</v>
      </c>
      <c r="F339" s="402" t="s">
        <v>2129</v>
      </c>
      <c r="G339" s="435" t="s">
        <v>1983</v>
      </c>
      <c r="H339" s="436">
        <v>22300</v>
      </c>
      <c r="I339" s="247" t="s">
        <v>2128</v>
      </c>
    </row>
    <row r="340" spans="1:9" ht="76.5" customHeight="1">
      <c r="A340" s="239">
        <v>338</v>
      </c>
      <c r="B340" s="247" t="s">
        <v>2100</v>
      </c>
      <c r="C340" s="400">
        <v>45366</v>
      </c>
      <c r="D340" s="247" t="s">
        <v>2086</v>
      </c>
      <c r="E340" s="434" t="s">
        <v>1975</v>
      </c>
      <c r="F340" s="402" t="s">
        <v>2096</v>
      </c>
      <c r="G340" s="435" t="s">
        <v>1983</v>
      </c>
      <c r="H340" s="436">
        <v>22300</v>
      </c>
      <c r="I340" s="247" t="s">
        <v>2093</v>
      </c>
    </row>
    <row r="341" spans="1:9" ht="76.5" customHeight="1">
      <c r="A341" s="239">
        <v>339</v>
      </c>
      <c r="B341" s="247" t="s">
        <v>2099</v>
      </c>
      <c r="C341" s="400">
        <v>45366</v>
      </c>
      <c r="D341" s="247" t="s">
        <v>2086</v>
      </c>
      <c r="E341" s="434" t="s">
        <v>1975</v>
      </c>
      <c r="F341" s="402" t="s">
        <v>2089</v>
      </c>
      <c r="G341" s="435" t="s">
        <v>1983</v>
      </c>
      <c r="H341" s="436">
        <v>22300</v>
      </c>
      <c r="I341" s="247" t="s">
        <v>2091</v>
      </c>
    </row>
    <row r="342" spans="1:9" ht="76.5">
      <c r="A342" s="239">
        <v>340</v>
      </c>
      <c r="B342" s="247" t="s">
        <v>2111</v>
      </c>
      <c r="C342" s="400">
        <v>45373</v>
      </c>
      <c r="D342" s="247" t="s">
        <v>2086</v>
      </c>
      <c r="E342" s="434" t="s">
        <v>1975</v>
      </c>
      <c r="F342" s="402" t="s">
        <v>2104</v>
      </c>
      <c r="G342" s="435" t="s">
        <v>1983</v>
      </c>
      <c r="H342" s="436">
        <v>22300</v>
      </c>
      <c r="I342" s="247" t="s">
        <v>2108</v>
      </c>
    </row>
    <row r="343" spans="1:9" ht="76.5">
      <c r="A343" s="239">
        <v>341</v>
      </c>
      <c r="B343" s="247" t="s">
        <v>2179</v>
      </c>
      <c r="C343" s="400">
        <v>45391</v>
      </c>
      <c r="D343" s="247" t="s">
        <v>2086</v>
      </c>
      <c r="E343" s="434" t="s">
        <v>1975</v>
      </c>
      <c r="F343" s="402" t="s">
        <v>2119</v>
      </c>
      <c r="G343" s="435" t="s">
        <v>1983</v>
      </c>
      <c r="H343" s="436">
        <v>22300</v>
      </c>
      <c r="I343" s="247" t="s">
        <v>2118</v>
      </c>
    </row>
    <row r="344" spans="1:9" ht="76.5" customHeight="1">
      <c r="A344" s="239">
        <v>342</v>
      </c>
      <c r="B344" s="247" t="s">
        <v>2178</v>
      </c>
      <c r="C344" s="400">
        <v>45386</v>
      </c>
      <c r="D344" s="247" t="s">
        <v>2086</v>
      </c>
      <c r="E344" s="434" t="s">
        <v>1975</v>
      </c>
      <c r="F344" s="402" t="s">
        <v>2115</v>
      </c>
      <c r="G344" s="435" t="s">
        <v>1983</v>
      </c>
      <c r="H344" s="436">
        <v>22300</v>
      </c>
      <c r="I344" s="247" t="s">
        <v>2116</v>
      </c>
    </row>
    <row r="345" spans="1:9" ht="76.5">
      <c r="A345" s="239">
        <v>343</v>
      </c>
      <c r="B345" s="247" t="s">
        <v>2099</v>
      </c>
      <c r="C345" s="400">
        <v>45366</v>
      </c>
      <c r="D345" s="247" t="s">
        <v>2086</v>
      </c>
      <c r="E345" s="434" t="s">
        <v>1975</v>
      </c>
      <c r="F345" s="402" t="s">
        <v>2090</v>
      </c>
      <c r="G345" s="435" t="s">
        <v>1983</v>
      </c>
      <c r="H345" s="436">
        <v>22300</v>
      </c>
      <c r="I345" s="247" t="s">
        <v>2091</v>
      </c>
    </row>
    <row r="346" spans="1:9" ht="76.5">
      <c r="A346" s="239">
        <v>344</v>
      </c>
      <c r="B346" s="247" t="s">
        <v>2100</v>
      </c>
      <c r="C346" s="400">
        <v>45366</v>
      </c>
      <c r="D346" s="247" t="s">
        <v>2086</v>
      </c>
      <c r="E346" s="434" t="s">
        <v>1975</v>
      </c>
      <c r="F346" s="402" t="s">
        <v>2092</v>
      </c>
      <c r="G346" s="435" t="s">
        <v>1983</v>
      </c>
      <c r="H346" s="436">
        <v>22300</v>
      </c>
      <c r="I346" s="247" t="s">
        <v>2093</v>
      </c>
    </row>
    <row r="347" spans="1:9" ht="76.5">
      <c r="A347" s="239">
        <v>345</v>
      </c>
      <c r="B347" s="247" t="s">
        <v>2178</v>
      </c>
      <c r="C347" s="400">
        <v>45386</v>
      </c>
      <c r="D347" s="247" t="s">
        <v>2086</v>
      </c>
      <c r="E347" s="434" t="s">
        <v>1975</v>
      </c>
      <c r="F347" s="402" t="s">
        <v>2113</v>
      </c>
      <c r="G347" s="435" t="s">
        <v>1983</v>
      </c>
      <c r="H347" s="436">
        <v>22300</v>
      </c>
      <c r="I347" s="247" t="s">
        <v>2116</v>
      </c>
    </row>
    <row r="348" spans="1:9" ht="76.5">
      <c r="A348" s="239">
        <v>346</v>
      </c>
      <c r="B348" s="247" t="s">
        <v>2179</v>
      </c>
      <c r="C348" s="400">
        <v>45391</v>
      </c>
      <c r="D348" s="247" t="s">
        <v>2086</v>
      </c>
      <c r="E348" s="434" t="s">
        <v>1975</v>
      </c>
      <c r="F348" s="402" t="s">
        <v>2121</v>
      </c>
      <c r="G348" s="435" t="s">
        <v>1983</v>
      </c>
      <c r="H348" s="436">
        <v>22300</v>
      </c>
      <c r="I348" s="247" t="s">
        <v>2118</v>
      </c>
    </row>
    <row r="349" spans="1:9" ht="76.5">
      <c r="A349" s="239">
        <v>347</v>
      </c>
      <c r="B349" s="247" t="s">
        <v>2179</v>
      </c>
      <c r="C349" s="400">
        <v>45391</v>
      </c>
      <c r="D349" s="247" t="s">
        <v>2086</v>
      </c>
      <c r="E349" s="434" t="s">
        <v>1975</v>
      </c>
      <c r="F349" s="402" t="s">
        <v>2122</v>
      </c>
      <c r="G349" s="435" t="s">
        <v>1983</v>
      </c>
      <c r="H349" s="436">
        <v>22300</v>
      </c>
      <c r="I349" s="247" t="s">
        <v>2118</v>
      </c>
    </row>
    <row r="350" spans="1:9" ht="76.5">
      <c r="A350" s="239">
        <v>348</v>
      </c>
      <c r="B350" s="247" t="s">
        <v>2111</v>
      </c>
      <c r="C350" s="400">
        <v>45373</v>
      </c>
      <c r="D350" s="247" t="s">
        <v>2086</v>
      </c>
      <c r="E350" s="434" t="s">
        <v>1975</v>
      </c>
      <c r="F350" s="402" t="s">
        <v>2106</v>
      </c>
      <c r="G350" s="435" t="s">
        <v>1983</v>
      </c>
      <c r="H350" s="436">
        <v>22300</v>
      </c>
      <c r="I350" s="247" t="s">
        <v>2108</v>
      </c>
    </row>
    <row r="351" spans="1:9" ht="76.5">
      <c r="A351" s="239">
        <v>349</v>
      </c>
      <c r="B351" s="247" t="s">
        <v>2180</v>
      </c>
      <c r="C351" s="400">
        <v>45391</v>
      </c>
      <c r="D351" s="247" t="s">
        <v>2125</v>
      </c>
      <c r="E351" s="434" t="s">
        <v>1975</v>
      </c>
      <c r="F351" s="402" t="s">
        <v>2117</v>
      </c>
      <c r="G351" s="435" t="s">
        <v>1983</v>
      </c>
      <c r="H351" s="436">
        <v>22300</v>
      </c>
      <c r="I351" s="247" t="s">
        <v>2118</v>
      </c>
    </row>
    <row r="352" spans="1:9" ht="76.5">
      <c r="A352" s="239">
        <v>350</v>
      </c>
      <c r="B352" s="247" t="s">
        <v>2181</v>
      </c>
      <c r="C352" s="400">
        <v>45420</v>
      </c>
      <c r="D352" s="247" t="s">
        <v>2125</v>
      </c>
      <c r="E352" s="434" t="s">
        <v>1975</v>
      </c>
      <c r="F352" s="402" t="s">
        <v>2123</v>
      </c>
      <c r="G352" s="435" t="s">
        <v>1983</v>
      </c>
      <c r="H352" s="436">
        <v>22300</v>
      </c>
      <c r="I352" s="247" t="s">
        <v>2126</v>
      </c>
    </row>
    <row r="353" spans="1:9" ht="76.5">
      <c r="A353" s="239">
        <v>351</v>
      </c>
      <c r="B353" s="247" t="s">
        <v>2181</v>
      </c>
      <c r="C353" s="400">
        <v>45420</v>
      </c>
      <c r="D353" s="247" t="s">
        <v>2125</v>
      </c>
      <c r="E353" s="434" t="s">
        <v>1975</v>
      </c>
      <c r="F353" s="402" t="s">
        <v>2124</v>
      </c>
      <c r="G353" s="435" t="s">
        <v>1983</v>
      </c>
      <c r="H353" s="436">
        <v>22300</v>
      </c>
      <c r="I353" s="247" t="s">
        <v>2126</v>
      </c>
    </row>
    <row r="354" spans="1:9" ht="76.5">
      <c r="A354" s="239">
        <v>352</v>
      </c>
      <c r="B354" s="247" t="s">
        <v>2201</v>
      </c>
      <c r="C354" s="400">
        <v>45625</v>
      </c>
      <c r="D354" s="247" t="s">
        <v>2200</v>
      </c>
      <c r="E354" s="434" t="s">
        <v>1975</v>
      </c>
      <c r="F354" s="402" t="s">
        <v>2194</v>
      </c>
      <c r="G354" s="435" t="s">
        <v>1983</v>
      </c>
      <c r="H354" s="436">
        <v>22300</v>
      </c>
      <c r="I354" s="247" t="s">
        <v>2199</v>
      </c>
    </row>
    <row r="355" spans="1:9" ht="76.5">
      <c r="A355" s="239">
        <v>353</v>
      </c>
      <c r="B355" s="247" t="s">
        <v>2201</v>
      </c>
      <c r="C355" s="400">
        <v>45625</v>
      </c>
      <c r="D355" s="247" t="s">
        <v>2200</v>
      </c>
      <c r="E355" s="434" t="s">
        <v>1975</v>
      </c>
      <c r="F355" s="402" t="s">
        <v>2195</v>
      </c>
      <c r="G355" s="435" t="s">
        <v>1983</v>
      </c>
      <c r="H355" s="436">
        <v>22300</v>
      </c>
      <c r="I355" s="247" t="s">
        <v>2199</v>
      </c>
    </row>
    <row r="356" spans="1:9" ht="76.5">
      <c r="A356" s="239">
        <v>354</v>
      </c>
      <c r="B356" s="247" t="s">
        <v>2201</v>
      </c>
      <c r="C356" s="400">
        <v>45625</v>
      </c>
      <c r="D356" s="247" t="s">
        <v>2200</v>
      </c>
      <c r="E356" s="434" t="s">
        <v>1975</v>
      </c>
      <c r="F356" s="402" t="s">
        <v>2196</v>
      </c>
      <c r="G356" s="435" t="s">
        <v>1983</v>
      </c>
      <c r="H356" s="436">
        <v>22300</v>
      </c>
      <c r="I356" s="247" t="s">
        <v>2199</v>
      </c>
    </row>
    <row r="357" spans="1:9" ht="76.5">
      <c r="A357" s="239">
        <v>355</v>
      </c>
      <c r="B357" s="247" t="s">
        <v>2201</v>
      </c>
      <c r="C357" s="400">
        <v>45625</v>
      </c>
      <c r="D357" s="247" t="s">
        <v>2200</v>
      </c>
      <c r="E357" s="434" t="s">
        <v>1975</v>
      </c>
      <c r="F357" s="402" t="s">
        <v>2197</v>
      </c>
      <c r="G357" s="435" t="s">
        <v>1983</v>
      </c>
      <c r="H357" s="436">
        <v>22300</v>
      </c>
      <c r="I357" s="247" t="s">
        <v>2199</v>
      </c>
    </row>
    <row r="358" spans="1:9" ht="76.5">
      <c r="A358" s="239">
        <v>356</v>
      </c>
      <c r="B358" s="247" t="s">
        <v>2271</v>
      </c>
      <c r="C358" s="400">
        <v>45841</v>
      </c>
      <c r="D358" s="247" t="s">
        <v>2266</v>
      </c>
      <c r="E358" s="434" t="s">
        <v>1975</v>
      </c>
      <c r="F358" s="402" t="s">
        <v>2272</v>
      </c>
      <c r="G358" s="435" t="s">
        <v>1983</v>
      </c>
      <c r="H358" s="436">
        <v>22300</v>
      </c>
      <c r="I358" s="247" t="s">
        <v>2273</v>
      </c>
    </row>
    <row r="359" spans="1:9" ht="76.5">
      <c r="A359" s="239">
        <v>357</v>
      </c>
      <c r="B359" s="247" t="s">
        <v>2201</v>
      </c>
      <c r="C359" s="400">
        <v>45625</v>
      </c>
      <c r="D359" s="247" t="s">
        <v>2200</v>
      </c>
      <c r="E359" s="434" t="s">
        <v>1975</v>
      </c>
      <c r="F359" s="402" t="s">
        <v>2198</v>
      </c>
      <c r="G359" s="435" t="s">
        <v>1983</v>
      </c>
      <c r="H359" s="436">
        <v>22300</v>
      </c>
      <c r="I359" s="247" t="s">
        <v>2199</v>
      </c>
    </row>
    <row r="360" spans="1:9" ht="76.5">
      <c r="A360" s="239">
        <v>358</v>
      </c>
      <c r="B360" s="247" t="s">
        <v>2265</v>
      </c>
      <c r="C360" s="400">
        <v>45832</v>
      </c>
      <c r="D360" s="247" t="s">
        <v>2266</v>
      </c>
      <c r="E360" s="434" t="s">
        <v>1975</v>
      </c>
      <c r="F360" s="402" t="s">
        <v>2267</v>
      </c>
      <c r="G360" s="435" t="s">
        <v>1983</v>
      </c>
      <c r="H360" s="436">
        <v>22300</v>
      </c>
      <c r="I360" s="247" t="s">
        <v>2268</v>
      </c>
    </row>
    <row r="361" spans="1:9" ht="76.5">
      <c r="A361" s="239">
        <v>359</v>
      </c>
      <c r="B361" s="247" t="s">
        <v>2295</v>
      </c>
      <c r="C361" s="400">
        <v>45958</v>
      </c>
      <c r="D361" s="247" t="s">
        <v>2296</v>
      </c>
      <c r="E361" s="434" t="s">
        <v>1975</v>
      </c>
      <c r="F361" s="402" t="s">
        <v>2297</v>
      </c>
      <c r="G361" s="435" t="s">
        <v>1983</v>
      </c>
      <c r="H361" s="436">
        <v>22300</v>
      </c>
      <c r="I361" s="247" t="s">
        <v>2298</v>
      </c>
    </row>
    <row r="362" spans="1:9" ht="76.5">
      <c r="A362" s="239">
        <v>360</v>
      </c>
      <c r="B362" s="247" t="s">
        <v>2271</v>
      </c>
      <c r="C362" s="400">
        <v>45841</v>
      </c>
      <c r="D362" s="247" t="s">
        <v>2266</v>
      </c>
      <c r="E362" s="434" t="s">
        <v>1975</v>
      </c>
      <c r="F362" s="402" t="s">
        <v>2274</v>
      </c>
      <c r="G362" s="435" t="s">
        <v>1983</v>
      </c>
      <c r="H362" s="436">
        <v>22300</v>
      </c>
      <c r="I362" s="247" t="s">
        <v>2273</v>
      </c>
    </row>
    <row r="363" spans="1:9" ht="76.5">
      <c r="A363" s="239">
        <v>361</v>
      </c>
      <c r="B363" s="247" t="s">
        <v>2271</v>
      </c>
      <c r="C363" s="400">
        <v>45841</v>
      </c>
      <c r="D363" s="247" t="s">
        <v>2266</v>
      </c>
      <c r="E363" s="434" t="s">
        <v>1975</v>
      </c>
      <c r="F363" s="402" t="s">
        <v>2275</v>
      </c>
      <c r="G363" s="435" t="s">
        <v>1983</v>
      </c>
      <c r="H363" s="436">
        <v>22300</v>
      </c>
      <c r="I363" s="247" t="s">
        <v>2273</v>
      </c>
    </row>
    <row r="364" spans="1:9" ht="76.5">
      <c r="A364" s="239">
        <v>362</v>
      </c>
      <c r="B364" s="247" t="s">
        <v>2295</v>
      </c>
      <c r="C364" s="400">
        <v>45958</v>
      </c>
      <c r="D364" s="247" t="s">
        <v>2296</v>
      </c>
      <c r="E364" s="434" t="s">
        <v>1975</v>
      </c>
      <c r="F364" s="402" t="s">
        <v>2299</v>
      </c>
      <c r="G364" s="435" t="s">
        <v>1983</v>
      </c>
      <c r="H364" s="436">
        <v>22300</v>
      </c>
      <c r="I364" s="247" t="s">
        <v>2298</v>
      </c>
    </row>
    <row r="365" spans="1:9" ht="76.5">
      <c r="A365" s="239">
        <v>363</v>
      </c>
      <c r="B365" s="247" t="s">
        <v>2265</v>
      </c>
      <c r="C365" s="400">
        <v>45832</v>
      </c>
      <c r="D365" s="247" t="s">
        <v>2266</v>
      </c>
      <c r="E365" s="434" t="s">
        <v>1975</v>
      </c>
      <c r="F365" s="402" t="s">
        <v>2269</v>
      </c>
      <c r="G365" s="435" t="s">
        <v>1983</v>
      </c>
      <c r="H365" s="436">
        <v>22300</v>
      </c>
      <c r="I365" s="247" t="s">
        <v>2268</v>
      </c>
    </row>
    <row r="366" spans="1:9" ht="76.5">
      <c r="A366" s="239">
        <v>364</v>
      </c>
      <c r="B366" s="247" t="s">
        <v>2295</v>
      </c>
      <c r="C366" s="400">
        <v>45958</v>
      </c>
      <c r="D366" s="247" t="s">
        <v>2296</v>
      </c>
      <c r="E366" s="434" t="s">
        <v>1975</v>
      </c>
      <c r="F366" s="402" t="s">
        <v>2300</v>
      </c>
      <c r="G366" s="435" t="s">
        <v>1983</v>
      </c>
      <c r="H366" s="436">
        <v>22300</v>
      </c>
      <c r="I366" s="247" t="s">
        <v>2298</v>
      </c>
    </row>
    <row r="367" spans="1:9" ht="76.5">
      <c r="A367" s="239">
        <v>365</v>
      </c>
      <c r="B367" s="247" t="s">
        <v>2295</v>
      </c>
      <c r="C367" s="400">
        <v>45958</v>
      </c>
      <c r="D367" s="247" t="s">
        <v>2296</v>
      </c>
      <c r="E367" s="434" t="s">
        <v>1975</v>
      </c>
      <c r="F367" s="402" t="s">
        <v>2301</v>
      </c>
      <c r="G367" s="435" t="s">
        <v>1983</v>
      </c>
      <c r="H367" s="436">
        <v>22300</v>
      </c>
      <c r="I367" s="247" t="s">
        <v>2298</v>
      </c>
    </row>
    <row r="368" spans="1:9" ht="76.5">
      <c r="A368" s="239">
        <v>366</v>
      </c>
      <c r="B368" s="247" t="s">
        <v>2333</v>
      </c>
      <c r="C368" s="400">
        <v>45999</v>
      </c>
      <c r="D368" s="247" t="s">
        <v>2332</v>
      </c>
      <c r="E368" s="434" t="s">
        <v>1975</v>
      </c>
      <c r="F368" s="402" t="s">
        <v>2330</v>
      </c>
      <c r="G368" s="435" t="s">
        <v>1983</v>
      </c>
      <c r="H368" s="436">
        <v>22300</v>
      </c>
      <c r="I368" s="247" t="s">
        <v>2329</v>
      </c>
    </row>
    <row r="369" spans="1:9" ht="76.5">
      <c r="A369" s="239">
        <v>367</v>
      </c>
      <c r="B369" s="247" t="s">
        <v>2333</v>
      </c>
      <c r="C369" s="400">
        <v>45999</v>
      </c>
      <c r="D369" s="247" t="s">
        <v>2332</v>
      </c>
      <c r="E369" s="434" t="s">
        <v>1975</v>
      </c>
      <c r="F369" s="402" t="s">
        <v>2331</v>
      </c>
      <c r="G369" s="435" t="s">
        <v>1983</v>
      </c>
      <c r="H369" s="436">
        <v>22300</v>
      </c>
      <c r="I369" s="247" t="s">
        <v>2329</v>
      </c>
    </row>
    <row r="370" spans="1:9" ht="76.5">
      <c r="A370" s="239">
        <v>368</v>
      </c>
      <c r="B370" s="247" t="s">
        <v>2305</v>
      </c>
      <c r="C370" s="400">
        <v>45988</v>
      </c>
      <c r="D370" s="247" t="s">
        <v>2296</v>
      </c>
      <c r="E370" s="434" t="s">
        <v>1975</v>
      </c>
      <c r="F370" s="402" t="s">
        <v>2307</v>
      </c>
      <c r="G370" s="435" t="s">
        <v>1983</v>
      </c>
      <c r="H370" s="436">
        <v>22300</v>
      </c>
      <c r="I370" s="247" t="s">
        <v>2306</v>
      </c>
    </row>
    <row r="371" spans="1:9" ht="76.5" customHeight="1">
      <c r="A371" s="239">
        <v>369</v>
      </c>
      <c r="B371" s="247" t="s">
        <v>2313</v>
      </c>
      <c r="C371" s="400">
        <v>45996</v>
      </c>
      <c r="D371" s="247" t="s">
        <v>2314</v>
      </c>
      <c r="E371" s="434" t="s">
        <v>1880</v>
      </c>
      <c r="F371" s="402" t="s">
        <v>2312</v>
      </c>
      <c r="G371" s="435" t="s">
        <v>2334</v>
      </c>
      <c r="H371" s="436">
        <v>22300</v>
      </c>
      <c r="I371" s="247" t="s">
        <v>2310</v>
      </c>
    </row>
    <row r="372" spans="1:9" ht="76.5" customHeight="1">
      <c r="A372" s="239">
        <v>370</v>
      </c>
      <c r="B372" s="247" t="s">
        <v>2313</v>
      </c>
      <c r="C372" s="400">
        <v>45996</v>
      </c>
      <c r="D372" s="247" t="s">
        <v>2314</v>
      </c>
      <c r="E372" s="434" t="s">
        <v>1880</v>
      </c>
      <c r="F372" s="402" t="s">
        <v>2311</v>
      </c>
      <c r="G372" s="435" t="s">
        <v>2334</v>
      </c>
      <c r="H372" s="436">
        <v>22300</v>
      </c>
      <c r="I372" s="247" t="s">
        <v>2310</v>
      </c>
    </row>
    <row r="373" spans="1:9" ht="76.5" customHeight="1">
      <c r="A373" s="239">
        <v>371</v>
      </c>
      <c r="B373" s="247" t="s">
        <v>2328</v>
      </c>
      <c r="C373" s="400">
        <v>45999</v>
      </c>
      <c r="D373" s="247" t="s">
        <v>2314</v>
      </c>
      <c r="E373" s="434" t="s">
        <v>1880</v>
      </c>
      <c r="F373" s="402" t="s">
        <v>2327</v>
      </c>
      <c r="G373" s="435" t="s">
        <v>2334</v>
      </c>
      <c r="H373" s="436">
        <v>22300</v>
      </c>
      <c r="I373" s="247" t="s">
        <v>2329</v>
      </c>
    </row>
    <row r="374" spans="1:9" ht="76.5" customHeight="1">
      <c r="A374" s="239">
        <v>372</v>
      </c>
      <c r="B374" s="247" t="s">
        <v>2337</v>
      </c>
      <c r="C374" s="400">
        <v>46000</v>
      </c>
      <c r="D374" s="247" t="s">
        <v>2314</v>
      </c>
      <c r="E374" s="434" t="s">
        <v>1880</v>
      </c>
      <c r="F374" s="402" t="s">
        <v>2335</v>
      </c>
      <c r="G374" s="435" t="s">
        <v>2334</v>
      </c>
      <c r="H374" s="436">
        <v>22300</v>
      </c>
      <c r="I374" s="247" t="s">
        <v>2336</v>
      </c>
    </row>
    <row r="375" spans="1:9" ht="76.5" customHeight="1">
      <c r="A375" s="239">
        <v>373</v>
      </c>
      <c r="B375" s="247" t="s">
        <v>2328</v>
      </c>
      <c r="C375" s="400">
        <v>45999</v>
      </c>
      <c r="D375" s="247" t="s">
        <v>2314</v>
      </c>
      <c r="E375" s="434" t="s">
        <v>1880</v>
      </c>
      <c r="F375" s="402" t="s">
        <v>2326</v>
      </c>
      <c r="G375" s="435" t="s">
        <v>2334</v>
      </c>
      <c r="H375" s="436">
        <v>22300</v>
      </c>
      <c r="I375" s="247" t="s">
        <v>2329</v>
      </c>
    </row>
  </sheetData>
  <autoFilter ref="E1:E365" xr:uid="{00000000-0001-0000-0D00-000000000000}"/>
  <phoneticPr fontId="4" type="noConversion"/>
  <printOptions horizontalCentered="1" verticalCentered="1"/>
  <pageMargins left="0" right="0" top="0" bottom="0" header="0.25" footer="0.25"/>
  <pageSetup paperSize="9" scale="61" orientation="portrait" verticalDpi="1200" r:id="rId1"/>
  <headerFooter alignWithMargins="0"/>
  <rowBreaks count="2" manualBreakCount="2">
    <brk id="45" max="8" man="1"/>
    <brk id="78" max="8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4"/>
  <sheetViews>
    <sheetView workbookViewId="0">
      <selection activeCell="F16" sqref="F16"/>
    </sheetView>
  </sheetViews>
  <sheetFormatPr defaultRowHeight="12.75"/>
  <cols>
    <col min="1" max="1" width="13.28515625" bestFit="1" customWidth="1"/>
    <col min="2" max="2" width="28.7109375" bestFit="1" customWidth="1"/>
    <col min="3" max="3" width="12.7109375" bestFit="1" customWidth="1"/>
    <col min="4" max="4" width="10.7109375" customWidth="1"/>
  </cols>
  <sheetData>
    <row r="1" spans="1:4" s="1" customFormat="1" ht="19.899999999999999" customHeight="1">
      <c r="B1" s="9" t="s">
        <v>1205</v>
      </c>
      <c r="C1" s="9" t="s">
        <v>1204</v>
      </c>
      <c r="D1" s="9" t="s">
        <v>1203</v>
      </c>
    </row>
    <row r="2" spans="1:4" s="1" customFormat="1" ht="19.899999999999999" customHeight="1">
      <c r="A2" s="1" t="s">
        <v>1202</v>
      </c>
      <c r="B2" s="9">
        <v>150</v>
      </c>
      <c r="C2" s="9">
        <v>56</v>
      </c>
      <c r="D2" s="9">
        <f>SUM(B2:C2)</f>
        <v>206</v>
      </c>
    </row>
    <row r="3" spans="1:4" s="1" customFormat="1" ht="19.899999999999999" customHeight="1">
      <c r="A3" s="1" t="s">
        <v>16</v>
      </c>
      <c r="B3" s="9">
        <v>8</v>
      </c>
      <c r="C3" s="9">
        <v>10</v>
      </c>
      <c r="D3" s="9">
        <f>SUM(B3:C3)</f>
        <v>18</v>
      </c>
    </row>
    <row r="4" spans="1:4" s="1" customFormat="1" ht="19.899999999999999" customHeight="1">
      <c r="A4" s="217" t="s">
        <v>336</v>
      </c>
      <c r="B4" s="9">
        <v>4</v>
      </c>
      <c r="C4" s="9">
        <v>1</v>
      </c>
      <c r="D4" s="9">
        <f>SUM(B4:C4)</f>
        <v>5</v>
      </c>
    </row>
    <row r="5" spans="1:4" s="1" customFormat="1" ht="19.899999999999999" customHeight="1">
      <c r="A5" s="1" t="s">
        <v>1201</v>
      </c>
      <c r="B5" s="9">
        <v>0</v>
      </c>
      <c r="C5" s="9">
        <v>16</v>
      </c>
      <c r="D5" s="9">
        <f>SUM(B5:C5)</f>
        <v>16</v>
      </c>
    </row>
    <row r="6" spans="1:4" s="1" customFormat="1" ht="19.899999999999999" customHeight="1">
      <c r="A6" s="1" t="s">
        <v>1200</v>
      </c>
      <c r="B6" s="9">
        <v>162</v>
      </c>
      <c r="C6" s="9">
        <f>SUM(C2:C5)</f>
        <v>83</v>
      </c>
      <c r="D6" s="9">
        <f>SUM(B6:C6)</f>
        <v>245</v>
      </c>
    </row>
    <row r="7" spans="1:4">
      <c r="B7" s="122"/>
      <c r="C7" s="122"/>
      <c r="D7" s="122"/>
    </row>
    <row r="9" spans="1:4">
      <c r="A9" s="1"/>
      <c r="B9" s="9" t="s">
        <v>1242</v>
      </c>
      <c r="C9" s="9" t="s">
        <v>1203</v>
      </c>
      <c r="D9" s="9" t="s">
        <v>1243</v>
      </c>
    </row>
    <row r="10" spans="1:4">
      <c r="A10" s="1" t="s">
        <v>1202</v>
      </c>
      <c r="B10" s="9">
        <v>13</v>
      </c>
      <c r="C10" s="9">
        <f>D2</f>
        <v>206</v>
      </c>
      <c r="D10" s="9">
        <f>C10-B10</f>
        <v>193</v>
      </c>
    </row>
    <row r="11" spans="1:4">
      <c r="A11" s="1" t="s">
        <v>16</v>
      </c>
      <c r="B11" s="9">
        <v>8</v>
      </c>
      <c r="C11" s="9">
        <f>D3</f>
        <v>18</v>
      </c>
      <c r="D11" s="9">
        <v>10</v>
      </c>
    </row>
    <row r="12" spans="1:4">
      <c r="A12" s="217" t="s">
        <v>336</v>
      </c>
      <c r="B12" s="9">
        <v>4</v>
      </c>
      <c r="C12" s="9">
        <f>D4</f>
        <v>5</v>
      </c>
      <c r="D12" s="9">
        <v>4</v>
      </c>
    </row>
    <row r="13" spans="1:4">
      <c r="A13" s="1" t="s">
        <v>1201</v>
      </c>
      <c r="B13" s="9">
        <v>0</v>
      </c>
      <c r="C13" s="9">
        <v>16</v>
      </c>
      <c r="D13" s="9">
        <f>C13-B13</f>
        <v>16</v>
      </c>
    </row>
    <row r="14" spans="1:4">
      <c r="A14" s="1" t="s">
        <v>1200</v>
      </c>
      <c r="B14" s="9">
        <v>162</v>
      </c>
      <c r="C14" s="9">
        <f>D6</f>
        <v>245</v>
      </c>
      <c r="D14" s="9">
        <f>C14-B14</f>
        <v>83</v>
      </c>
    </row>
    <row r="17" spans="1:2">
      <c r="A17" s="190" t="s">
        <v>1387</v>
      </c>
      <c r="B17" s="189" t="s">
        <v>518</v>
      </c>
    </row>
    <row r="18" spans="1:2">
      <c r="A18" s="185">
        <v>2014</v>
      </c>
      <c r="B18" s="185">
        <v>1</v>
      </c>
    </row>
    <row r="19" spans="1:2">
      <c r="A19" s="122">
        <v>2018</v>
      </c>
      <c r="B19" s="122">
        <v>20</v>
      </c>
    </row>
    <row r="20" spans="1:2">
      <c r="A20" s="122">
        <v>2019</v>
      </c>
      <c r="B20" s="122">
        <v>73</v>
      </c>
    </row>
    <row r="21" spans="1:2">
      <c r="A21" s="122">
        <v>2020</v>
      </c>
      <c r="B21" s="122">
        <v>27</v>
      </c>
    </row>
    <row r="22" spans="1:2" ht="13.5" thickBot="1">
      <c r="A22" s="186">
        <v>2021</v>
      </c>
      <c r="B22" s="186">
        <v>41</v>
      </c>
    </row>
    <row r="23" spans="1:2" ht="13.5" thickBot="1">
      <c r="A23" s="188" t="s">
        <v>1203</v>
      </c>
      <c r="B23" s="187">
        <f>SUM(B18:B22)</f>
        <v>162</v>
      </c>
    </row>
    <row r="24" spans="1:2" ht="13.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15</vt:i4>
      </vt:variant>
    </vt:vector>
  </HeadingPairs>
  <TitlesOfParts>
    <vt:vector size="32" baseType="lpstr">
      <vt:lpstr>67 Office (2)</vt:lpstr>
      <vt:lpstr>INSRTED</vt:lpstr>
      <vt:lpstr>57 Office</vt:lpstr>
      <vt:lpstr>265 site</vt:lpstr>
      <vt:lpstr>12 H3</vt:lpstr>
      <vt:lpstr>23 Loan &amp; Sold</vt:lpstr>
      <vt:lpstr>Kodi-Strike Off (No Values)</vt:lpstr>
      <vt:lpstr>16 WRITE OFF</vt:lpstr>
      <vt:lpstr>Sold</vt:lpstr>
      <vt:lpstr>Router, Beanair Sensor, PC</vt:lpstr>
      <vt:lpstr>Confirm FF SN</vt:lpstr>
      <vt:lpstr>VM &amp; NM</vt:lpstr>
      <vt:lpstr>Battery</vt:lpstr>
      <vt:lpstr>Solar Panel</vt:lpstr>
      <vt:lpstr>Prism</vt:lpstr>
      <vt:lpstr>373 Purchased</vt:lpstr>
      <vt:lpstr>Sheet1</vt:lpstr>
      <vt:lpstr>'12 H3'!Print_Area</vt:lpstr>
      <vt:lpstr>'23 Loan &amp; Sold'!Print_Area</vt:lpstr>
      <vt:lpstr>'265 site'!Print_Area</vt:lpstr>
      <vt:lpstr>'373 Purchased'!Print_Area</vt:lpstr>
      <vt:lpstr>'57 Office'!Print_Area</vt:lpstr>
      <vt:lpstr>'67 Office (2)'!Print_Area</vt:lpstr>
      <vt:lpstr>'Kodi-Strike Off (No Values)'!Print_Area</vt:lpstr>
      <vt:lpstr>'Router, Beanair Sensor, PC'!Print_Area</vt:lpstr>
      <vt:lpstr>Sold!Print_Area</vt:lpstr>
      <vt:lpstr>'VM &amp; NM'!Print_Area</vt:lpstr>
      <vt:lpstr>'23 Loan &amp; Sold'!Print_Titles</vt:lpstr>
      <vt:lpstr>'265 site'!Print_Titles</vt:lpstr>
      <vt:lpstr>'373 Purchased'!Print_Titles</vt:lpstr>
      <vt:lpstr>'57 Office'!Print_Titles</vt:lpstr>
      <vt:lpstr>'67 Office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</dc:creator>
  <cp:lastModifiedBy>Monitoring Solutions Providers Singapore</cp:lastModifiedBy>
  <cp:lastPrinted>2025-11-05T02:24:43Z</cp:lastPrinted>
  <dcterms:created xsi:type="dcterms:W3CDTF">2016-02-25T07:17:43Z</dcterms:created>
  <dcterms:modified xsi:type="dcterms:W3CDTF">2026-02-02T02:03:41Z</dcterms:modified>
</cp:coreProperties>
</file>